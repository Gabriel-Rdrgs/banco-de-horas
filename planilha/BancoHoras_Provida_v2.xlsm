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date1904="1"/>
  <mc:AlternateContent xmlns:mc="http://schemas.openxmlformats.org/markup-compatibility/2006">
    <mc:Choice Requires="x15">
      <x15ac:absPath xmlns:x15ac="http://schemas.microsoft.com/office/spreadsheetml/2010/11/ac" url="C:\Users\OWNER\Downloads\"/>
    </mc:Choice>
  </mc:AlternateContent>
  <xr:revisionPtr revIDLastSave="0" documentId="8_{7C9266BA-E691-41AC-B3EB-3B35B3F7D7EB}" xr6:coauthVersionLast="47" xr6:coauthVersionMax="47" xr10:uidLastSave="{00000000-0000-0000-0000-000000000000}"/>
  <bookViews>
    <workbookView xWindow="-120" yWindow="-120" windowWidth="20730" windowHeight="11160" tabRatio="500" firstSheet="11" activeTab="14" xr2:uid="{00000000-000D-0000-FFFF-FFFF00000000}"/>
  </bookViews>
  <sheets>
    <sheet name="Início" sheetId="7" r:id="rId1"/>
    <sheet name="Apuracao_Consolidada" sheetId="1" r:id="rId2"/>
    <sheet name="Resumo_Banco" sheetId="2" r:id="rId3"/>
    <sheet name="Cadastro" sheetId="3" r:id="rId4"/>
    <sheet name="Dashboard" sheetId="4" r:id="rId5"/>
    <sheet name="Saldos_Iniciais" sheetId="5" r:id="rId6"/>
    <sheet name="Ajuda" sheetId="6" r:id="rId7"/>
    <sheet name="PainelControle" sheetId="8" r:id="rId8"/>
    <sheet name="VBA_Codigo" sheetId="9" r:id="rId9"/>
    <sheet name="Listas" sheetId="10" r:id="rId10"/>
    <sheet name="Macros_Referencia" sheetId="11" r:id="rId11"/>
    <sheet name="Criterios_Aplicados" sheetId="12" r:id="rId12"/>
    <sheet name="BatidasOCR" sheetId="13" r:id="rId13"/>
    <sheet name="ApuracaoAutomatica" sheetId="14" r:id="rId14"/>
    <sheet name="ControleOCR" sheetId="15" r:id="rId15"/>
  </sheets>
  <definedNames>
    <definedName name="Lista_Colaboradores">Listas!$A$4:$A$30</definedName>
    <definedName name="tblSaldosIniciais">#REF!</definedName>
  </definedNames>
  <calcPr calcId="191029" iterateDelta="1E-4"/>
  <fileRecoveryPr repairLoad="1"/>
  <extLst>
    <ext xmlns:loext="http://schemas.libreoffice.org/" uri="{7626C862-2A13-11E5-B345-FEFF819CDC9F}">
      <loext:extCalcPr stringRefSyntax="ExcelA1"/>
    </ext>
  </extLst>
</workbook>
</file>

<file path=xl/calcChain.xml><?xml version="1.0" encoding="utf-8"?>
<calcChain xmlns="http://schemas.openxmlformats.org/spreadsheetml/2006/main">
  <c r="K3" i="14" l="1"/>
  <c r="K3" i="13"/>
  <c r="J3" i="13"/>
  <c r="L3" i="13" s="1"/>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A13" i="8"/>
  <c r="K9" i="8"/>
  <c r="F9" i="8"/>
  <c r="A9" i="8"/>
  <c r="E24" i="4"/>
  <c r="D24" i="4"/>
  <c r="C24" i="4"/>
  <c r="B24" i="4"/>
  <c r="F24" i="4" s="1"/>
  <c r="G24" i="4" s="1"/>
  <c r="E23" i="4"/>
  <c r="B23" i="4"/>
  <c r="D23" i="4" s="1"/>
  <c r="E22" i="4"/>
  <c r="D22" i="4"/>
  <c r="C22" i="4"/>
  <c r="B22" i="4"/>
  <c r="F22" i="4" s="1"/>
  <c r="G22" i="4" s="1"/>
  <c r="E21" i="4"/>
  <c r="B21" i="4"/>
  <c r="D21" i="4" s="1"/>
  <c r="E20" i="4"/>
  <c r="D20" i="4"/>
  <c r="C20" i="4"/>
  <c r="B20" i="4"/>
  <c r="F20" i="4" s="1"/>
  <c r="G20" i="4" s="1"/>
  <c r="E19" i="4"/>
  <c r="B19" i="4"/>
  <c r="D19" i="4" s="1"/>
  <c r="E18" i="4"/>
  <c r="D18" i="4"/>
  <c r="C18" i="4"/>
  <c r="B18" i="4"/>
  <c r="E17" i="4"/>
  <c r="B17" i="4"/>
  <c r="D17" i="4" s="1"/>
  <c r="E16" i="4"/>
  <c r="D16" i="4"/>
  <c r="C16" i="4"/>
  <c r="B16" i="4"/>
  <c r="E15" i="4"/>
  <c r="B15" i="4"/>
  <c r="D15" i="4" s="1"/>
  <c r="E14" i="4"/>
  <c r="D14" i="4"/>
  <c r="C14" i="4"/>
  <c r="B14" i="4"/>
  <c r="E13" i="4"/>
  <c r="B13" i="4"/>
  <c r="D13" i="4" s="1"/>
  <c r="D8" i="4"/>
  <c r="B8" i="4"/>
  <c r="F5" i="4"/>
  <c r="D5" i="4"/>
  <c r="B5" i="4"/>
  <c r="J14" i="3"/>
  <c r="A14" i="3"/>
  <c r="J13" i="3"/>
  <c r="A13" i="3"/>
  <c r="J12" i="3"/>
  <c r="A12" i="3"/>
  <c r="J11" i="3"/>
  <c r="A11" i="3"/>
  <c r="J10" i="3"/>
  <c r="A10" i="3"/>
  <c r="J9" i="3"/>
  <c r="A9" i="3"/>
  <c r="J8" i="3"/>
  <c r="A8" i="3"/>
  <c r="J7" i="3"/>
  <c r="A7" i="3"/>
  <c r="J6" i="3"/>
  <c r="A6" i="3"/>
  <c r="J5" i="3"/>
  <c r="A5" i="3"/>
  <c r="J4" i="3"/>
  <c r="A4" i="3"/>
  <c r="J3" i="3"/>
  <c r="A3" i="3"/>
  <c r="J14" i="2"/>
  <c r="I14" i="2"/>
  <c r="H14" i="2"/>
  <c r="G14" i="2"/>
  <c r="F14" i="2"/>
  <c r="E14" i="2"/>
  <c r="D14" i="2"/>
  <c r="C14" i="2"/>
  <c r="B14" i="2"/>
  <c r="J13" i="2"/>
  <c r="I13" i="2"/>
  <c r="H13" i="2"/>
  <c r="G13" i="2"/>
  <c r="F13" i="2"/>
  <c r="E13" i="2"/>
  <c r="D13" i="2"/>
  <c r="C13" i="2"/>
  <c r="B13" i="2"/>
  <c r="J12" i="2"/>
  <c r="I12" i="2"/>
  <c r="H12" i="2"/>
  <c r="G12" i="2"/>
  <c r="F12" i="2"/>
  <c r="E12" i="2"/>
  <c r="D12" i="2"/>
  <c r="C12" i="2"/>
  <c r="B12" i="2"/>
  <c r="J11" i="2"/>
  <c r="I11" i="2"/>
  <c r="H11" i="2"/>
  <c r="G11" i="2"/>
  <c r="F11" i="2"/>
  <c r="E11" i="2"/>
  <c r="D11" i="2"/>
  <c r="C11" i="2"/>
  <c r="B11" i="2"/>
  <c r="J10" i="2"/>
  <c r="I10" i="2"/>
  <c r="H10" i="2"/>
  <c r="G10" i="2"/>
  <c r="F10" i="2"/>
  <c r="E10" i="2"/>
  <c r="D10" i="2"/>
  <c r="C10" i="2"/>
  <c r="B10" i="2"/>
  <c r="J9" i="2"/>
  <c r="I9" i="2"/>
  <c r="H9" i="2"/>
  <c r="G9" i="2"/>
  <c r="F9" i="2"/>
  <c r="E9" i="2"/>
  <c r="D9" i="2"/>
  <c r="C9" i="2"/>
  <c r="B9" i="2"/>
  <c r="F8" i="2"/>
  <c r="E8" i="2"/>
  <c r="D8" i="2"/>
  <c r="C8" i="2"/>
  <c r="F7" i="2"/>
  <c r="E7" i="2"/>
  <c r="D7" i="2"/>
  <c r="C7" i="2"/>
  <c r="F6" i="2"/>
  <c r="E6" i="2"/>
  <c r="D6" i="2"/>
  <c r="C6" i="2"/>
  <c r="F5" i="2"/>
  <c r="E5" i="2"/>
  <c r="D5" i="2"/>
  <c r="C5" i="2"/>
  <c r="F4" i="2"/>
  <c r="E4" i="2"/>
  <c r="D4" i="2"/>
  <c r="C4" i="2"/>
  <c r="F3" i="2"/>
  <c r="E3" i="2"/>
  <c r="D3" i="2"/>
  <c r="C3" i="2"/>
  <c r="V257" i="1"/>
  <c r="U257" i="1"/>
  <c r="T257" i="1"/>
  <c r="S257" i="1"/>
  <c r="N257" i="1"/>
  <c r="M257" i="1"/>
  <c r="L257" i="1"/>
  <c r="H257" i="1"/>
  <c r="O257" i="1" s="1"/>
  <c r="G257" i="1"/>
  <c r="F257" i="1"/>
  <c r="E257" i="1"/>
  <c r="C257" i="1"/>
  <c r="A257" i="1"/>
  <c r="V256" i="1"/>
  <c r="U256" i="1"/>
  <c r="T256" i="1"/>
  <c r="S256" i="1"/>
  <c r="N256" i="1"/>
  <c r="M256" i="1"/>
  <c r="L256" i="1"/>
  <c r="H256" i="1"/>
  <c r="O256" i="1" s="1"/>
  <c r="G256" i="1"/>
  <c r="F256" i="1"/>
  <c r="E256" i="1"/>
  <c r="C256" i="1"/>
  <c r="A256" i="1"/>
  <c r="V255" i="1"/>
  <c r="U255" i="1"/>
  <c r="T255" i="1"/>
  <c r="S255" i="1"/>
  <c r="N255" i="1"/>
  <c r="M255" i="1"/>
  <c r="L255" i="1"/>
  <c r="H255" i="1"/>
  <c r="O255" i="1" s="1"/>
  <c r="G255" i="1"/>
  <c r="F255" i="1"/>
  <c r="E255" i="1"/>
  <c r="C255" i="1"/>
  <c r="A255" i="1"/>
  <c r="V254" i="1"/>
  <c r="U254" i="1"/>
  <c r="T254" i="1"/>
  <c r="S254" i="1"/>
  <c r="N254" i="1"/>
  <c r="M254" i="1"/>
  <c r="L254" i="1"/>
  <c r="H254" i="1"/>
  <c r="O254" i="1" s="1"/>
  <c r="G254" i="1"/>
  <c r="F254" i="1"/>
  <c r="E254" i="1"/>
  <c r="C254" i="1"/>
  <c r="A254" i="1"/>
  <c r="V253" i="1"/>
  <c r="U253" i="1"/>
  <c r="T253" i="1"/>
  <c r="S253" i="1"/>
  <c r="N253" i="1"/>
  <c r="M253" i="1"/>
  <c r="L253" i="1"/>
  <c r="H253" i="1"/>
  <c r="O253" i="1" s="1"/>
  <c r="G253" i="1"/>
  <c r="F253" i="1"/>
  <c r="E253" i="1"/>
  <c r="C253" i="1"/>
  <c r="A253" i="1"/>
  <c r="V252" i="1"/>
  <c r="U252" i="1"/>
  <c r="T252" i="1"/>
  <c r="S252" i="1"/>
  <c r="N252" i="1"/>
  <c r="M252" i="1"/>
  <c r="L252" i="1"/>
  <c r="H252" i="1"/>
  <c r="O252" i="1" s="1"/>
  <c r="G252" i="1"/>
  <c r="F252" i="1"/>
  <c r="E252" i="1"/>
  <c r="C252" i="1"/>
  <c r="A252" i="1"/>
  <c r="V251" i="1"/>
  <c r="U251" i="1"/>
  <c r="T251" i="1"/>
  <c r="S251" i="1"/>
  <c r="N251" i="1"/>
  <c r="M251" i="1"/>
  <c r="L251" i="1"/>
  <c r="H251" i="1"/>
  <c r="O251" i="1" s="1"/>
  <c r="G251" i="1"/>
  <c r="F251" i="1"/>
  <c r="E251" i="1"/>
  <c r="C251" i="1"/>
  <c r="A251" i="1"/>
  <c r="V250" i="1"/>
  <c r="U250" i="1"/>
  <c r="T250" i="1"/>
  <c r="S250" i="1"/>
  <c r="N250" i="1"/>
  <c r="M250" i="1"/>
  <c r="L250" i="1"/>
  <c r="H250" i="1"/>
  <c r="O250" i="1" s="1"/>
  <c r="G250" i="1"/>
  <c r="F250" i="1"/>
  <c r="E250" i="1"/>
  <c r="C250" i="1"/>
  <c r="A250" i="1"/>
  <c r="V249" i="1"/>
  <c r="U249" i="1"/>
  <c r="T249" i="1"/>
  <c r="S249" i="1"/>
  <c r="N249" i="1"/>
  <c r="M249" i="1"/>
  <c r="L249" i="1"/>
  <c r="H249" i="1"/>
  <c r="O249" i="1" s="1"/>
  <c r="G249" i="1"/>
  <c r="F249" i="1"/>
  <c r="E249" i="1"/>
  <c r="C249" i="1"/>
  <c r="A249" i="1"/>
  <c r="V248" i="1"/>
  <c r="U248" i="1"/>
  <c r="T248" i="1"/>
  <c r="S248" i="1"/>
  <c r="N248" i="1"/>
  <c r="M248" i="1"/>
  <c r="L248" i="1"/>
  <c r="H248" i="1"/>
  <c r="O248" i="1" s="1"/>
  <c r="G248" i="1"/>
  <c r="F248" i="1"/>
  <c r="E248" i="1"/>
  <c r="C248" i="1"/>
  <c r="A248" i="1"/>
  <c r="V247" i="1"/>
  <c r="U247" i="1"/>
  <c r="T247" i="1"/>
  <c r="S247" i="1"/>
  <c r="N247" i="1"/>
  <c r="M247" i="1"/>
  <c r="L247" i="1"/>
  <c r="H247" i="1"/>
  <c r="O247" i="1" s="1"/>
  <c r="G247" i="1"/>
  <c r="F247" i="1"/>
  <c r="E247" i="1"/>
  <c r="C247" i="1"/>
  <c r="A247" i="1"/>
  <c r="V246" i="1"/>
  <c r="U246" i="1"/>
  <c r="T246" i="1"/>
  <c r="S246" i="1"/>
  <c r="N246" i="1"/>
  <c r="M246" i="1"/>
  <c r="L246" i="1"/>
  <c r="H246" i="1"/>
  <c r="O246" i="1" s="1"/>
  <c r="G246" i="1"/>
  <c r="F246" i="1"/>
  <c r="E246" i="1"/>
  <c r="C246" i="1"/>
  <c r="A246" i="1"/>
  <c r="V245" i="1"/>
  <c r="U245" i="1"/>
  <c r="T245" i="1"/>
  <c r="S245" i="1"/>
  <c r="N245" i="1"/>
  <c r="M245" i="1"/>
  <c r="L245" i="1"/>
  <c r="H245" i="1"/>
  <c r="O245" i="1" s="1"/>
  <c r="G245" i="1"/>
  <c r="F245" i="1"/>
  <c r="E245" i="1"/>
  <c r="C245" i="1"/>
  <c r="A245" i="1"/>
  <c r="V244" i="1"/>
  <c r="U244" i="1"/>
  <c r="T244" i="1"/>
  <c r="S244" i="1"/>
  <c r="N244" i="1"/>
  <c r="M244" i="1"/>
  <c r="L244" i="1"/>
  <c r="H244" i="1"/>
  <c r="O244" i="1" s="1"/>
  <c r="G244" i="1"/>
  <c r="F244" i="1"/>
  <c r="E244" i="1"/>
  <c r="C244" i="1"/>
  <c r="A244" i="1"/>
  <c r="V243" i="1"/>
  <c r="U243" i="1"/>
  <c r="T243" i="1"/>
  <c r="S243" i="1"/>
  <c r="N243" i="1"/>
  <c r="M243" i="1"/>
  <c r="L243" i="1"/>
  <c r="H243" i="1"/>
  <c r="O243" i="1" s="1"/>
  <c r="G243" i="1"/>
  <c r="F243" i="1"/>
  <c r="E243" i="1"/>
  <c r="C243" i="1"/>
  <c r="A243" i="1"/>
  <c r="V242" i="1"/>
  <c r="U242" i="1"/>
  <c r="T242" i="1"/>
  <c r="S242" i="1"/>
  <c r="N242" i="1"/>
  <c r="M242" i="1"/>
  <c r="L242" i="1"/>
  <c r="H242" i="1"/>
  <c r="O242" i="1" s="1"/>
  <c r="G242" i="1"/>
  <c r="F242" i="1"/>
  <c r="E242" i="1"/>
  <c r="C242" i="1"/>
  <c r="A242" i="1"/>
  <c r="V241" i="1"/>
  <c r="U241" i="1"/>
  <c r="T241" i="1"/>
  <c r="S241" i="1"/>
  <c r="N241" i="1"/>
  <c r="M241" i="1"/>
  <c r="L241" i="1"/>
  <c r="H241" i="1"/>
  <c r="O241" i="1" s="1"/>
  <c r="G241" i="1"/>
  <c r="F241" i="1"/>
  <c r="E241" i="1"/>
  <c r="C241" i="1"/>
  <c r="A241" i="1"/>
  <c r="V240" i="1"/>
  <c r="U240" i="1"/>
  <c r="T240" i="1"/>
  <c r="S240" i="1"/>
  <c r="N240" i="1"/>
  <c r="M240" i="1"/>
  <c r="L240" i="1"/>
  <c r="H240" i="1"/>
  <c r="O240" i="1" s="1"/>
  <c r="G240" i="1"/>
  <c r="F240" i="1"/>
  <c r="E240" i="1"/>
  <c r="C240" i="1"/>
  <c r="A240" i="1"/>
  <c r="V239" i="1"/>
  <c r="U239" i="1"/>
  <c r="T239" i="1"/>
  <c r="S239" i="1"/>
  <c r="N239" i="1"/>
  <c r="M239" i="1"/>
  <c r="L239" i="1"/>
  <c r="H239" i="1"/>
  <c r="O239" i="1" s="1"/>
  <c r="G239" i="1"/>
  <c r="F239" i="1"/>
  <c r="E239" i="1"/>
  <c r="C239" i="1"/>
  <c r="A239" i="1"/>
  <c r="V238" i="1"/>
  <c r="U238" i="1"/>
  <c r="T238" i="1"/>
  <c r="S238" i="1"/>
  <c r="N238" i="1"/>
  <c r="M238" i="1"/>
  <c r="L238" i="1"/>
  <c r="H238" i="1"/>
  <c r="O238" i="1" s="1"/>
  <c r="G238" i="1"/>
  <c r="F238" i="1"/>
  <c r="E238" i="1"/>
  <c r="C238" i="1"/>
  <c r="A238" i="1"/>
  <c r="V237" i="1"/>
  <c r="U237" i="1"/>
  <c r="T237" i="1"/>
  <c r="S237" i="1"/>
  <c r="N237" i="1"/>
  <c r="M237" i="1"/>
  <c r="L237" i="1"/>
  <c r="H237" i="1"/>
  <c r="O237" i="1" s="1"/>
  <c r="G237" i="1"/>
  <c r="F237" i="1"/>
  <c r="E237" i="1"/>
  <c r="C237" i="1"/>
  <c r="A237" i="1"/>
  <c r="V236" i="1"/>
  <c r="U236" i="1"/>
  <c r="T236" i="1"/>
  <c r="S236" i="1"/>
  <c r="N236" i="1"/>
  <c r="M236" i="1"/>
  <c r="L236" i="1"/>
  <c r="H236" i="1"/>
  <c r="O236" i="1" s="1"/>
  <c r="G236" i="1"/>
  <c r="F236" i="1"/>
  <c r="E236" i="1"/>
  <c r="C236" i="1"/>
  <c r="A236" i="1"/>
  <c r="V235" i="1"/>
  <c r="U235" i="1"/>
  <c r="T235" i="1"/>
  <c r="S235" i="1"/>
  <c r="N235" i="1"/>
  <c r="M235" i="1"/>
  <c r="L235" i="1"/>
  <c r="H235" i="1"/>
  <c r="O235" i="1" s="1"/>
  <c r="G235" i="1"/>
  <c r="F235" i="1"/>
  <c r="E235" i="1"/>
  <c r="C235" i="1"/>
  <c r="A235" i="1"/>
  <c r="V234" i="1"/>
  <c r="U234" i="1"/>
  <c r="T234" i="1"/>
  <c r="S234" i="1"/>
  <c r="N234" i="1"/>
  <c r="M234" i="1"/>
  <c r="L234" i="1"/>
  <c r="H234" i="1"/>
  <c r="O234" i="1" s="1"/>
  <c r="G234" i="1"/>
  <c r="F234" i="1"/>
  <c r="E234" i="1"/>
  <c r="C234" i="1"/>
  <c r="A234" i="1"/>
  <c r="V233" i="1"/>
  <c r="U233" i="1"/>
  <c r="T233" i="1"/>
  <c r="S233" i="1"/>
  <c r="N233" i="1"/>
  <c r="M233" i="1"/>
  <c r="L233" i="1"/>
  <c r="H233" i="1"/>
  <c r="O233" i="1" s="1"/>
  <c r="G233" i="1"/>
  <c r="F233" i="1"/>
  <c r="E233" i="1"/>
  <c r="C233" i="1"/>
  <c r="A233" i="1"/>
  <c r="V232" i="1"/>
  <c r="U232" i="1"/>
  <c r="T232" i="1"/>
  <c r="S232" i="1"/>
  <c r="N232" i="1"/>
  <c r="M232" i="1"/>
  <c r="L232" i="1"/>
  <c r="H232" i="1"/>
  <c r="O232" i="1" s="1"/>
  <c r="G232" i="1"/>
  <c r="F232" i="1"/>
  <c r="E232" i="1"/>
  <c r="C232" i="1"/>
  <c r="A232" i="1"/>
  <c r="V231" i="1"/>
  <c r="U231" i="1"/>
  <c r="T231" i="1"/>
  <c r="S231" i="1"/>
  <c r="N231" i="1"/>
  <c r="M231" i="1"/>
  <c r="L231" i="1"/>
  <c r="H231" i="1"/>
  <c r="O231" i="1" s="1"/>
  <c r="G231" i="1"/>
  <c r="F231" i="1"/>
  <c r="E231" i="1"/>
  <c r="C231" i="1"/>
  <c r="A231" i="1"/>
  <c r="V230" i="1"/>
  <c r="U230" i="1"/>
  <c r="T230" i="1"/>
  <c r="S230" i="1"/>
  <c r="N230" i="1"/>
  <c r="M230" i="1"/>
  <c r="L230" i="1"/>
  <c r="H230" i="1"/>
  <c r="O230" i="1" s="1"/>
  <c r="G230" i="1"/>
  <c r="F230" i="1"/>
  <c r="E230" i="1"/>
  <c r="C230" i="1"/>
  <c r="A230" i="1"/>
  <c r="V229" i="1"/>
  <c r="U229" i="1"/>
  <c r="T229" i="1"/>
  <c r="S229" i="1"/>
  <c r="N229" i="1"/>
  <c r="M229" i="1"/>
  <c r="L229" i="1"/>
  <c r="H229" i="1"/>
  <c r="O229" i="1" s="1"/>
  <c r="G229" i="1"/>
  <c r="F229" i="1"/>
  <c r="E229" i="1"/>
  <c r="C229" i="1"/>
  <c r="A229" i="1"/>
  <c r="V228" i="1"/>
  <c r="U228" i="1"/>
  <c r="T228" i="1"/>
  <c r="S228" i="1"/>
  <c r="N228" i="1"/>
  <c r="M228" i="1"/>
  <c r="L228" i="1"/>
  <c r="H228" i="1"/>
  <c r="O228" i="1" s="1"/>
  <c r="G228" i="1"/>
  <c r="F228" i="1"/>
  <c r="E228" i="1"/>
  <c r="C228" i="1"/>
  <c r="A228" i="1"/>
  <c r="V227" i="1"/>
  <c r="U227" i="1"/>
  <c r="T227" i="1"/>
  <c r="S227" i="1"/>
  <c r="N227" i="1"/>
  <c r="M227" i="1"/>
  <c r="L227" i="1"/>
  <c r="H227" i="1"/>
  <c r="O227" i="1" s="1"/>
  <c r="G227" i="1"/>
  <c r="F227" i="1"/>
  <c r="E227" i="1"/>
  <c r="C227" i="1"/>
  <c r="A227" i="1"/>
  <c r="V226" i="1"/>
  <c r="U226" i="1"/>
  <c r="T226" i="1"/>
  <c r="S226" i="1"/>
  <c r="N226" i="1"/>
  <c r="M226" i="1"/>
  <c r="L226" i="1"/>
  <c r="H226" i="1"/>
  <c r="O226" i="1" s="1"/>
  <c r="G226" i="1"/>
  <c r="F226" i="1"/>
  <c r="E226" i="1"/>
  <c r="C226" i="1"/>
  <c r="A226" i="1"/>
  <c r="V225" i="1"/>
  <c r="U225" i="1"/>
  <c r="T225" i="1"/>
  <c r="S225" i="1"/>
  <c r="N225" i="1"/>
  <c r="M225" i="1"/>
  <c r="L225" i="1"/>
  <c r="H225" i="1"/>
  <c r="O225" i="1" s="1"/>
  <c r="G225" i="1"/>
  <c r="F225" i="1"/>
  <c r="E225" i="1"/>
  <c r="C225" i="1"/>
  <c r="A225" i="1"/>
  <c r="V224" i="1"/>
  <c r="U224" i="1"/>
  <c r="T224" i="1"/>
  <c r="S224" i="1"/>
  <c r="N224" i="1"/>
  <c r="M224" i="1"/>
  <c r="L224" i="1"/>
  <c r="H224" i="1"/>
  <c r="O224" i="1" s="1"/>
  <c r="G224" i="1"/>
  <c r="F224" i="1"/>
  <c r="E224" i="1"/>
  <c r="C224" i="1"/>
  <c r="A224" i="1"/>
  <c r="V223" i="1"/>
  <c r="U223" i="1"/>
  <c r="T223" i="1"/>
  <c r="S223" i="1"/>
  <c r="N223" i="1"/>
  <c r="M223" i="1"/>
  <c r="L223" i="1"/>
  <c r="H223" i="1"/>
  <c r="O223" i="1" s="1"/>
  <c r="G223" i="1"/>
  <c r="F223" i="1"/>
  <c r="E223" i="1"/>
  <c r="C223" i="1"/>
  <c r="A223" i="1"/>
  <c r="V222" i="1"/>
  <c r="U222" i="1"/>
  <c r="T222" i="1"/>
  <c r="S222" i="1"/>
  <c r="N222" i="1"/>
  <c r="M222" i="1"/>
  <c r="L222" i="1"/>
  <c r="H222" i="1"/>
  <c r="O222" i="1" s="1"/>
  <c r="G222" i="1"/>
  <c r="F222" i="1"/>
  <c r="E222" i="1"/>
  <c r="C222" i="1"/>
  <c r="A222" i="1"/>
  <c r="V221" i="1"/>
  <c r="U221" i="1"/>
  <c r="T221" i="1"/>
  <c r="S221" i="1"/>
  <c r="N221" i="1"/>
  <c r="M221" i="1"/>
  <c r="L221" i="1"/>
  <c r="H221" i="1"/>
  <c r="O221" i="1" s="1"/>
  <c r="G221" i="1"/>
  <c r="F221" i="1"/>
  <c r="E221" i="1"/>
  <c r="C221" i="1"/>
  <c r="A221" i="1"/>
  <c r="V220" i="1"/>
  <c r="U220" i="1"/>
  <c r="T220" i="1"/>
  <c r="S220" i="1"/>
  <c r="N220" i="1"/>
  <c r="M220" i="1"/>
  <c r="L220" i="1"/>
  <c r="H220" i="1"/>
  <c r="O220" i="1" s="1"/>
  <c r="G220" i="1"/>
  <c r="F220" i="1"/>
  <c r="E220" i="1"/>
  <c r="C220" i="1"/>
  <c r="A220" i="1"/>
  <c r="V219" i="1"/>
  <c r="U219" i="1"/>
  <c r="T219" i="1"/>
  <c r="S219" i="1"/>
  <c r="N219" i="1"/>
  <c r="M219" i="1"/>
  <c r="L219" i="1"/>
  <c r="H219" i="1"/>
  <c r="O219" i="1" s="1"/>
  <c r="G219" i="1"/>
  <c r="F219" i="1"/>
  <c r="E219" i="1"/>
  <c r="C219" i="1"/>
  <c r="A219" i="1"/>
  <c r="V218" i="1"/>
  <c r="U218" i="1"/>
  <c r="T218" i="1"/>
  <c r="S218" i="1"/>
  <c r="N218" i="1"/>
  <c r="M218" i="1"/>
  <c r="L218" i="1"/>
  <c r="H218" i="1"/>
  <c r="O218" i="1" s="1"/>
  <c r="G218" i="1"/>
  <c r="F218" i="1"/>
  <c r="E218" i="1"/>
  <c r="C218" i="1"/>
  <c r="A218" i="1"/>
  <c r="V217" i="1"/>
  <c r="U217" i="1"/>
  <c r="T217" i="1"/>
  <c r="S217" i="1"/>
  <c r="N217" i="1"/>
  <c r="M217" i="1"/>
  <c r="L217" i="1"/>
  <c r="H217" i="1"/>
  <c r="O217" i="1" s="1"/>
  <c r="G217" i="1"/>
  <c r="F217" i="1"/>
  <c r="E217" i="1"/>
  <c r="C217" i="1"/>
  <c r="A217" i="1"/>
  <c r="V216" i="1"/>
  <c r="U216" i="1"/>
  <c r="T216" i="1"/>
  <c r="S216" i="1"/>
  <c r="N216" i="1"/>
  <c r="M216" i="1"/>
  <c r="L216" i="1"/>
  <c r="H216" i="1"/>
  <c r="O216" i="1" s="1"/>
  <c r="G216" i="1"/>
  <c r="F216" i="1"/>
  <c r="E216" i="1"/>
  <c r="C216" i="1"/>
  <c r="A216" i="1"/>
  <c r="V215" i="1"/>
  <c r="U215" i="1"/>
  <c r="T215" i="1"/>
  <c r="S215" i="1"/>
  <c r="N215" i="1"/>
  <c r="M215" i="1"/>
  <c r="L215" i="1"/>
  <c r="H215" i="1"/>
  <c r="O215" i="1" s="1"/>
  <c r="G215" i="1"/>
  <c r="F215" i="1"/>
  <c r="E215" i="1"/>
  <c r="C215" i="1"/>
  <c r="A215" i="1"/>
  <c r="V214" i="1"/>
  <c r="U214" i="1"/>
  <c r="T214" i="1"/>
  <c r="S214" i="1"/>
  <c r="N214" i="1"/>
  <c r="M214" i="1"/>
  <c r="L214" i="1"/>
  <c r="H214" i="1"/>
  <c r="O214" i="1" s="1"/>
  <c r="G214" i="1"/>
  <c r="F214" i="1"/>
  <c r="E214" i="1"/>
  <c r="C214" i="1"/>
  <c r="A214" i="1"/>
  <c r="V213" i="1"/>
  <c r="U213" i="1"/>
  <c r="T213" i="1"/>
  <c r="S213" i="1"/>
  <c r="N213" i="1"/>
  <c r="M213" i="1"/>
  <c r="L213" i="1"/>
  <c r="H213" i="1"/>
  <c r="O213" i="1" s="1"/>
  <c r="G213" i="1"/>
  <c r="F213" i="1"/>
  <c r="E213" i="1"/>
  <c r="C213" i="1"/>
  <c r="A213" i="1"/>
  <c r="V212" i="1"/>
  <c r="U212" i="1"/>
  <c r="T212" i="1"/>
  <c r="S212" i="1"/>
  <c r="N212" i="1"/>
  <c r="M212" i="1"/>
  <c r="L212" i="1"/>
  <c r="H212" i="1"/>
  <c r="O212" i="1" s="1"/>
  <c r="G212" i="1"/>
  <c r="F212" i="1"/>
  <c r="E212" i="1"/>
  <c r="C212" i="1"/>
  <c r="A212" i="1"/>
  <c r="V211" i="1"/>
  <c r="U211" i="1"/>
  <c r="T211" i="1"/>
  <c r="S211" i="1"/>
  <c r="N211" i="1"/>
  <c r="M211" i="1"/>
  <c r="L211" i="1"/>
  <c r="H211" i="1"/>
  <c r="O211" i="1" s="1"/>
  <c r="G211" i="1"/>
  <c r="F211" i="1"/>
  <c r="E211" i="1"/>
  <c r="C211" i="1"/>
  <c r="A211" i="1"/>
  <c r="V210" i="1"/>
  <c r="U210" i="1"/>
  <c r="T210" i="1"/>
  <c r="S210" i="1"/>
  <c r="N210" i="1"/>
  <c r="M210" i="1"/>
  <c r="L210" i="1"/>
  <c r="H210" i="1"/>
  <c r="O210" i="1" s="1"/>
  <c r="G210" i="1"/>
  <c r="F210" i="1"/>
  <c r="E210" i="1"/>
  <c r="C210" i="1"/>
  <c r="A210" i="1"/>
  <c r="V209" i="1"/>
  <c r="U209" i="1"/>
  <c r="T209" i="1"/>
  <c r="S209" i="1"/>
  <c r="N209" i="1"/>
  <c r="M209" i="1"/>
  <c r="L209" i="1"/>
  <c r="H209" i="1"/>
  <c r="O209" i="1" s="1"/>
  <c r="G209" i="1"/>
  <c r="F209" i="1"/>
  <c r="E209" i="1"/>
  <c r="C209" i="1"/>
  <c r="A209" i="1"/>
  <c r="V208" i="1"/>
  <c r="U208" i="1"/>
  <c r="T208" i="1"/>
  <c r="S208" i="1"/>
  <c r="N208" i="1"/>
  <c r="M208" i="1"/>
  <c r="L208" i="1"/>
  <c r="H208" i="1"/>
  <c r="O208" i="1" s="1"/>
  <c r="G208" i="1"/>
  <c r="F208" i="1"/>
  <c r="E208" i="1"/>
  <c r="C208" i="1"/>
  <c r="A208" i="1"/>
  <c r="V207" i="1"/>
  <c r="U207" i="1"/>
  <c r="T207" i="1"/>
  <c r="S207" i="1"/>
  <c r="N207" i="1"/>
  <c r="M207" i="1"/>
  <c r="L207" i="1"/>
  <c r="H207" i="1"/>
  <c r="O207" i="1" s="1"/>
  <c r="G207" i="1"/>
  <c r="F207" i="1"/>
  <c r="E207" i="1"/>
  <c r="C207" i="1"/>
  <c r="A207" i="1"/>
  <c r="V206" i="1"/>
  <c r="U206" i="1"/>
  <c r="T206" i="1"/>
  <c r="S206" i="1"/>
  <c r="N206" i="1"/>
  <c r="M206" i="1"/>
  <c r="L206" i="1"/>
  <c r="H206" i="1"/>
  <c r="O206" i="1" s="1"/>
  <c r="G206" i="1"/>
  <c r="F206" i="1"/>
  <c r="E206" i="1"/>
  <c r="C206" i="1"/>
  <c r="A206" i="1"/>
  <c r="V205" i="1"/>
  <c r="U205" i="1"/>
  <c r="T205" i="1"/>
  <c r="S205" i="1"/>
  <c r="N205" i="1"/>
  <c r="M205" i="1"/>
  <c r="L205" i="1"/>
  <c r="H205" i="1"/>
  <c r="O205" i="1" s="1"/>
  <c r="G205" i="1"/>
  <c r="F205" i="1"/>
  <c r="E205" i="1"/>
  <c r="C205" i="1"/>
  <c r="A205" i="1"/>
  <c r="V204" i="1"/>
  <c r="U204" i="1"/>
  <c r="T204" i="1"/>
  <c r="S204" i="1"/>
  <c r="N204" i="1"/>
  <c r="M204" i="1"/>
  <c r="L204" i="1"/>
  <c r="H204" i="1"/>
  <c r="O204" i="1" s="1"/>
  <c r="G204" i="1"/>
  <c r="F204" i="1"/>
  <c r="E204" i="1"/>
  <c r="C204" i="1"/>
  <c r="A204" i="1"/>
  <c r="V203" i="1"/>
  <c r="U203" i="1"/>
  <c r="T203" i="1"/>
  <c r="S203" i="1"/>
  <c r="N203" i="1"/>
  <c r="M203" i="1"/>
  <c r="L203" i="1"/>
  <c r="H203" i="1"/>
  <c r="O203" i="1" s="1"/>
  <c r="G203" i="1"/>
  <c r="F203" i="1"/>
  <c r="E203" i="1"/>
  <c r="C203" i="1"/>
  <c r="A203" i="1"/>
  <c r="V202" i="1"/>
  <c r="U202" i="1"/>
  <c r="T202" i="1"/>
  <c r="S202" i="1"/>
  <c r="N202" i="1"/>
  <c r="M202" i="1"/>
  <c r="L202" i="1"/>
  <c r="H202" i="1"/>
  <c r="O202" i="1" s="1"/>
  <c r="G202" i="1"/>
  <c r="F202" i="1"/>
  <c r="E202" i="1"/>
  <c r="C202" i="1"/>
  <c r="A202" i="1"/>
  <c r="V201" i="1"/>
  <c r="U201" i="1"/>
  <c r="T201" i="1"/>
  <c r="S201" i="1"/>
  <c r="N201" i="1"/>
  <c r="M201" i="1"/>
  <c r="L201" i="1"/>
  <c r="H201" i="1"/>
  <c r="O201" i="1" s="1"/>
  <c r="G201" i="1"/>
  <c r="F201" i="1"/>
  <c r="E201" i="1"/>
  <c r="C201" i="1"/>
  <c r="A201" i="1"/>
  <c r="V200" i="1"/>
  <c r="U200" i="1"/>
  <c r="T200" i="1"/>
  <c r="S200" i="1"/>
  <c r="N200" i="1"/>
  <c r="M200" i="1"/>
  <c r="L200" i="1"/>
  <c r="H200" i="1"/>
  <c r="O200" i="1" s="1"/>
  <c r="G200" i="1"/>
  <c r="F200" i="1"/>
  <c r="E200" i="1"/>
  <c r="C200" i="1"/>
  <c r="A200" i="1"/>
  <c r="V199" i="1"/>
  <c r="U199" i="1"/>
  <c r="T199" i="1"/>
  <c r="S199" i="1"/>
  <c r="N199" i="1"/>
  <c r="M199" i="1"/>
  <c r="L199" i="1"/>
  <c r="H199" i="1"/>
  <c r="O199" i="1" s="1"/>
  <c r="G199" i="1"/>
  <c r="F199" i="1"/>
  <c r="E199" i="1"/>
  <c r="C199" i="1"/>
  <c r="A199" i="1"/>
  <c r="V198" i="1"/>
  <c r="U198" i="1"/>
  <c r="T198" i="1"/>
  <c r="S198" i="1"/>
  <c r="N198" i="1"/>
  <c r="M198" i="1"/>
  <c r="L198" i="1"/>
  <c r="H198" i="1"/>
  <c r="O198" i="1" s="1"/>
  <c r="G198" i="1"/>
  <c r="F198" i="1"/>
  <c r="E198" i="1"/>
  <c r="C198" i="1"/>
  <c r="A198" i="1"/>
  <c r="V197" i="1"/>
  <c r="U197" i="1"/>
  <c r="T197" i="1"/>
  <c r="S197" i="1"/>
  <c r="N197" i="1"/>
  <c r="M197" i="1"/>
  <c r="L197" i="1"/>
  <c r="H197" i="1"/>
  <c r="O197" i="1" s="1"/>
  <c r="G197" i="1"/>
  <c r="F197" i="1"/>
  <c r="E197" i="1"/>
  <c r="C197" i="1"/>
  <c r="A197" i="1"/>
  <c r="V196" i="1"/>
  <c r="U196" i="1"/>
  <c r="T196" i="1"/>
  <c r="S196" i="1"/>
  <c r="N196" i="1"/>
  <c r="M196" i="1"/>
  <c r="L196" i="1"/>
  <c r="H196" i="1"/>
  <c r="O196" i="1" s="1"/>
  <c r="G196" i="1"/>
  <c r="F196" i="1"/>
  <c r="E196" i="1"/>
  <c r="C196" i="1"/>
  <c r="A196" i="1"/>
  <c r="V195" i="1"/>
  <c r="U195" i="1"/>
  <c r="T195" i="1"/>
  <c r="S195" i="1"/>
  <c r="N195" i="1"/>
  <c r="M195" i="1"/>
  <c r="L195" i="1"/>
  <c r="H195" i="1"/>
  <c r="O195" i="1" s="1"/>
  <c r="G195" i="1"/>
  <c r="F195" i="1"/>
  <c r="E195" i="1"/>
  <c r="C195" i="1"/>
  <c r="A195" i="1"/>
  <c r="V194" i="1"/>
  <c r="U194" i="1"/>
  <c r="T194" i="1"/>
  <c r="S194" i="1"/>
  <c r="N194" i="1"/>
  <c r="M194" i="1"/>
  <c r="L194" i="1"/>
  <c r="H194" i="1"/>
  <c r="O194" i="1" s="1"/>
  <c r="G194" i="1"/>
  <c r="F194" i="1"/>
  <c r="E194" i="1"/>
  <c r="C194" i="1"/>
  <c r="A194" i="1"/>
  <c r="V193" i="1"/>
  <c r="U193" i="1"/>
  <c r="T193" i="1"/>
  <c r="S193" i="1"/>
  <c r="N193" i="1"/>
  <c r="M193" i="1"/>
  <c r="L193" i="1"/>
  <c r="H193" i="1"/>
  <c r="O193" i="1" s="1"/>
  <c r="G193" i="1"/>
  <c r="F193" i="1"/>
  <c r="E193" i="1"/>
  <c r="C193" i="1"/>
  <c r="A193" i="1"/>
  <c r="V192" i="1"/>
  <c r="U192" i="1"/>
  <c r="T192" i="1"/>
  <c r="S192" i="1"/>
  <c r="N192" i="1"/>
  <c r="M192" i="1"/>
  <c r="L192" i="1"/>
  <c r="H192" i="1"/>
  <c r="O192" i="1" s="1"/>
  <c r="G192" i="1"/>
  <c r="F192" i="1"/>
  <c r="E192" i="1"/>
  <c r="C192" i="1"/>
  <c r="A192" i="1"/>
  <c r="V191" i="1"/>
  <c r="U191" i="1"/>
  <c r="T191" i="1"/>
  <c r="S191" i="1"/>
  <c r="N191" i="1"/>
  <c r="M191" i="1"/>
  <c r="L191" i="1"/>
  <c r="H191" i="1"/>
  <c r="O191" i="1" s="1"/>
  <c r="G191" i="1"/>
  <c r="F191" i="1"/>
  <c r="E191" i="1"/>
  <c r="C191" i="1"/>
  <c r="A191" i="1"/>
  <c r="V190" i="1"/>
  <c r="U190" i="1"/>
  <c r="T190" i="1"/>
  <c r="S190" i="1"/>
  <c r="N190" i="1"/>
  <c r="M190" i="1"/>
  <c r="L190" i="1"/>
  <c r="H190" i="1"/>
  <c r="O190" i="1" s="1"/>
  <c r="G190" i="1"/>
  <c r="F190" i="1"/>
  <c r="E190" i="1"/>
  <c r="C190" i="1"/>
  <c r="A190" i="1"/>
  <c r="V189" i="1"/>
  <c r="U189" i="1"/>
  <c r="T189" i="1"/>
  <c r="S189" i="1"/>
  <c r="N189" i="1"/>
  <c r="M189" i="1"/>
  <c r="L189" i="1"/>
  <c r="H189" i="1"/>
  <c r="O189" i="1" s="1"/>
  <c r="G189" i="1"/>
  <c r="F189" i="1"/>
  <c r="E189" i="1"/>
  <c r="C189" i="1"/>
  <c r="A189" i="1"/>
  <c r="V188" i="1"/>
  <c r="U188" i="1"/>
  <c r="T188" i="1"/>
  <c r="S188" i="1"/>
  <c r="N188" i="1"/>
  <c r="M188" i="1"/>
  <c r="L188" i="1"/>
  <c r="H188" i="1"/>
  <c r="O188" i="1" s="1"/>
  <c r="G188" i="1"/>
  <c r="F188" i="1"/>
  <c r="E188" i="1"/>
  <c r="C188" i="1"/>
  <c r="A188" i="1"/>
  <c r="V187" i="1"/>
  <c r="U187" i="1"/>
  <c r="T187" i="1"/>
  <c r="S187" i="1"/>
  <c r="N187" i="1"/>
  <c r="M187" i="1"/>
  <c r="L187" i="1"/>
  <c r="H187" i="1"/>
  <c r="O187" i="1" s="1"/>
  <c r="G187" i="1"/>
  <c r="F187" i="1"/>
  <c r="E187" i="1"/>
  <c r="C187" i="1"/>
  <c r="A187" i="1"/>
  <c r="V186" i="1"/>
  <c r="U186" i="1"/>
  <c r="T186" i="1"/>
  <c r="S186" i="1"/>
  <c r="N186" i="1"/>
  <c r="M186" i="1"/>
  <c r="L186" i="1"/>
  <c r="H186" i="1"/>
  <c r="O186" i="1" s="1"/>
  <c r="G186" i="1"/>
  <c r="F186" i="1"/>
  <c r="E186" i="1"/>
  <c r="C186" i="1"/>
  <c r="A186" i="1"/>
  <c r="V185" i="1"/>
  <c r="U185" i="1"/>
  <c r="T185" i="1"/>
  <c r="S185" i="1"/>
  <c r="N185" i="1"/>
  <c r="M185" i="1"/>
  <c r="L185" i="1"/>
  <c r="H185" i="1"/>
  <c r="O185" i="1" s="1"/>
  <c r="G185" i="1"/>
  <c r="F185" i="1"/>
  <c r="E185" i="1"/>
  <c r="C185" i="1"/>
  <c r="A185" i="1"/>
  <c r="V184" i="1"/>
  <c r="U184" i="1"/>
  <c r="T184" i="1"/>
  <c r="S184" i="1"/>
  <c r="N184" i="1"/>
  <c r="M184" i="1"/>
  <c r="L184" i="1"/>
  <c r="H184" i="1"/>
  <c r="O184" i="1" s="1"/>
  <c r="G184" i="1"/>
  <c r="F184" i="1"/>
  <c r="E184" i="1"/>
  <c r="C184" i="1"/>
  <c r="A184" i="1"/>
  <c r="V183" i="1"/>
  <c r="U183" i="1"/>
  <c r="T183" i="1"/>
  <c r="S183" i="1"/>
  <c r="N183" i="1"/>
  <c r="M183" i="1"/>
  <c r="L183" i="1"/>
  <c r="H183" i="1"/>
  <c r="O183" i="1" s="1"/>
  <c r="G183" i="1"/>
  <c r="F183" i="1"/>
  <c r="E183" i="1"/>
  <c r="C183" i="1"/>
  <c r="A183" i="1"/>
  <c r="V182" i="1"/>
  <c r="U182" i="1"/>
  <c r="T182" i="1"/>
  <c r="S182" i="1"/>
  <c r="N182" i="1"/>
  <c r="M182" i="1"/>
  <c r="L182" i="1"/>
  <c r="H182" i="1"/>
  <c r="O182" i="1" s="1"/>
  <c r="G182" i="1"/>
  <c r="F182" i="1"/>
  <c r="E182" i="1"/>
  <c r="C182" i="1"/>
  <c r="A182" i="1"/>
  <c r="V181" i="1"/>
  <c r="U181" i="1"/>
  <c r="T181" i="1"/>
  <c r="S181" i="1"/>
  <c r="N181" i="1"/>
  <c r="M181" i="1"/>
  <c r="L181" i="1"/>
  <c r="H181" i="1"/>
  <c r="O181" i="1" s="1"/>
  <c r="G181" i="1"/>
  <c r="F181" i="1"/>
  <c r="E181" i="1"/>
  <c r="C181" i="1"/>
  <c r="A181" i="1"/>
  <c r="V180" i="1"/>
  <c r="U180" i="1"/>
  <c r="T180" i="1"/>
  <c r="S180" i="1"/>
  <c r="N180" i="1"/>
  <c r="M180" i="1"/>
  <c r="L180" i="1"/>
  <c r="H180" i="1"/>
  <c r="O180" i="1" s="1"/>
  <c r="G180" i="1"/>
  <c r="F180" i="1"/>
  <c r="E180" i="1"/>
  <c r="C180" i="1"/>
  <c r="A180" i="1"/>
  <c r="V179" i="1"/>
  <c r="U179" i="1"/>
  <c r="T179" i="1"/>
  <c r="S179" i="1"/>
  <c r="N179" i="1"/>
  <c r="M179" i="1"/>
  <c r="L179" i="1"/>
  <c r="H179" i="1"/>
  <c r="O179" i="1" s="1"/>
  <c r="G179" i="1"/>
  <c r="F179" i="1"/>
  <c r="E179" i="1"/>
  <c r="C179" i="1"/>
  <c r="A179" i="1"/>
  <c r="V178" i="1"/>
  <c r="U178" i="1"/>
  <c r="T178" i="1"/>
  <c r="S178" i="1"/>
  <c r="N178" i="1"/>
  <c r="M178" i="1"/>
  <c r="L178" i="1"/>
  <c r="H178" i="1"/>
  <c r="O178" i="1" s="1"/>
  <c r="G178" i="1"/>
  <c r="F178" i="1"/>
  <c r="E178" i="1"/>
  <c r="C178" i="1"/>
  <c r="A178" i="1"/>
  <c r="V177" i="1"/>
  <c r="U177" i="1"/>
  <c r="T177" i="1"/>
  <c r="S177" i="1"/>
  <c r="N177" i="1"/>
  <c r="M177" i="1"/>
  <c r="L177" i="1"/>
  <c r="H177" i="1"/>
  <c r="O177" i="1" s="1"/>
  <c r="G177" i="1"/>
  <c r="F177" i="1"/>
  <c r="E177" i="1"/>
  <c r="C177" i="1"/>
  <c r="A177" i="1"/>
  <c r="V176" i="1"/>
  <c r="U176" i="1"/>
  <c r="T176" i="1"/>
  <c r="S176" i="1"/>
  <c r="N176" i="1"/>
  <c r="M176" i="1"/>
  <c r="L176" i="1"/>
  <c r="H176" i="1"/>
  <c r="O176" i="1" s="1"/>
  <c r="G176" i="1"/>
  <c r="F176" i="1"/>
  <c r="E176" i="1"/>
  <c r="C176" i="1"/>
  <c r="A176" i="1"/>
  <c r="V175" i="1"/>
  <c r="U175" i="1"/>
  <c r="T175" i="1"/>
  <c r="S175" i="1"/>
  <c r="N175" i="1"/>
  <c r="M175" i="1"/>
  <c r="L175" i="1"/>
  <c r="H175" i="1"/>
  <c r="O175" i="1" s="1"/>
  <c r="G175" i="1"/>
  <c r="F175" i="1"/>
  <c r="E175" i="1"/>
  <c r="C175" i="1"/>
  <c r="A175" i="1"/>
  <c r="V174" i="1"/>
  <c r="U174" i="1"/>
  <c r="T174" i="1"/>
  <c r="S174" i="1"/>
  <c r="N174" i="1"/>
  <c r="M174" i="1"/>
  <c r="L174" i="1"/>
  <c r="H174" i="1"/>
  <c r="O174" i="1" s="1"/>
  <c r="G174" i="1"/>
  <c r="F174" i="1"/>
  <c r="E174" i="1"/>
  <c r="C174" i="1"/>
  <c r="A174" i="1"/>
  <c r="V173" i="1"/>
  <c r="U173" i="1"/>
  <c r="T173" i="1"/>
  <c r="S173" i="1"/>
  <c r="N173" i="1"/>
  <c r="M173" i="1"/>
  <c r="L173" i="1"/>
  <c r="H173" i="1"/>
  <c r="O173" i="1" s="1"/>
  <c r="G173" i="1"/>
  <c r="F173" i="1"/>
  <c r="E173" i="1"/>
  <c r="C173" i="1"/>
  <c r="A173" i="1"/>
  <c r="V172" i="1"/>
  <c r="U172" i="1"/>
  <c r="T172" i="1"/>
  <c r="S172" i="1"/>
  <c r="N172" i="1"/>
  <c r="M172" i="1"/>
  <c r="L172" i="1"/>
  <c r="H172" i="1"/>
  <c r="O172" i="1" s="1"/>
  <c r="G172" i="1"/>
  <c r="F172" i="1"/>
  <c r="E172" i="1"/>
  <c r="C172" i="1"/>
  <c r="A172" i="1"/>
  <c r="V171" i="1"/>
  <c r="U171" i="1"/>
  <c r="T171" i="1"/>
  <c r="S171" i="1"/>
  <c r="N171" i="1"/>
  <c r="M171" i="1"/>
  <c r="L171" i="1"/>
  <c r="H171" i="1"/>
  <c r="O171" i="1" s="1"/>
  <c r="G171" i="1"/>
  <c r="F171" i="1"/>
  <c r="E171" i="1"/>
  <c r="C171" i="1"/>
  <c r="A171" i="1"/>
  <c r="V170" i="1"/>
  <c r="U170" i="1"/>
  <c r="T170" i="1"/>
  <c r="S170" i="1"/>
  <c r="N170" i="1"/>
  <c r="M170" i="1"/>
  <c r="L170" i="1"/>
  <c r="H170" i="1"/>
  <c r="O170" i="1" s="1"/>
  <c r="G170" i="1"/>
  <c r="F170" i="1"/>
  <c r="E170" i="1"/>
  <c r="C170" i="1"/>
  <c r="A170" i="1"/>
  <c r="V169" i="1"/>
  <c r="U169" i="1"/>
  <c r="T169" i="1"/>
  <c r="S169" i="1"/>
  <c r="N169" i="1"/>
  <c r="M169" i="1"/>
  <c r="L169" i="1"/>
  <c r="H169" i="1"/>
  <c r="O169" i="1" s="1"/>
  <c r="G169" i="1"/>
  <c r="F169" i="1"/>
  <c r="E169" i="1"/>
  <c r="C169" i="1"/>
  <c r="A169" i="1"/>
  <c r="V168" i="1"/>
  <c r="U168" i="1"/>
  <c r="T168" i="1"/>
  <c r="S168" i="1"/>
  <c r="N168" i="1"/>
  <c r="M168" i="1"/>
  <c r="L168" i="1"/>
  <c r="H168" i="1"/>
  <c r="O168" i="1" s="1"/>
  <c r="G168" i="1"/>
  <c r="F168" i="1"/>
  <c r="E168" i="1"/>
  <c r="C168" i="1"/>
  <c r="A168" i="1"/>
  <c r="V167" i="1"/>
  <c r="U167" i="1"/>
  <c r="T167" i="1"/>
  <c r="S167" i="1"/>
  <c r="N167" i="1"/>
  <c r="M167" i="1"/>
  <c r="L167" i="1"/>
  <c r="H167" i="1"/>
  <c r="O167" i="1" s="1"/>
  <c r="G167" i="1"/>
  <c r="F167" i="1"/>
  <c r="E167" i="1"/>
  <c r="C167" i="1"/>
  <c r="A167" i="1"/>
  <c r="V166" i="1"/>
  <c r="U166" i="1"/>
  <c r="T166" i="1"/>
  <c r="S166" i="1"/>
  <c r="N166" i="1"/>
  <c r="M166" i="1"/>
  <c r="L166" i="1"/>
  <c r="H166" i="1"/>
  <c r="O166" i="1" s="1"/>
  <c r="G166" i="1"/>
  <c r="F166" i="1"/>
  <c r="E166" i="1"/>
  <c r="C166" i="1"/>
  <c r="A166" i="1"/>
  <c r="V165" i="1"/>
  <c r="U165" i="1"/>
  <c r="T165" i="1"/>
  <c r="S165" i="1"/>
  <c r="N165" i="1"/>
  <c r="M165" i="1"/>
  <c r="L165" i="1"/>
  <c r="H165" i="1"/>
  <c r="O165" i="1" s="1"/>
  <c r="G165" i="1"/>
  <c r="F165" i="1"/>
  <c r="E165" i="1"/>
  <c r="C165" i="1"/>
  <c r="A165" i="1"/>
  <c r="V164" i="1"/>
  <c r="U164" i="1"/>
  <c r="T164" i="1"/>
  <c r="S164" i="1"/>
  <c r="N164" i="1"/>
  <c r="M164" i="1"/>
  <c r="L164" i="1"/>
  <c r="H164" i="1"/>
  <c r="O164" i="1" s="1"/>
  <c r="G164" i="1"/>
  <c r="F164" i="1"/>
  <c r="E164" i="1"/>
  <c r="C164" i="1"/>
  <c r="A164" i="1"/>
  <c r="V163" i="1"/>
  <c r="U163" i="1"/>
  <c r="T163" i="1"/>
  <c r="S163" i="1"/>
  <c r="N163" i="1"/>
  <c r="M163" i="1"/>
  <c r="L163" i="1"/>
  <c r="H163" i="1"/>
  <c r="O163" i="1" s="1"/>
  <c r="G163" i="1"/>
  <c r="F163" i="1"/>
  <c r="E163" i="1"/>
  <c r="C163" i="1"/>
  <c r="A163" i="1"/>
  <c r="V162" i="1"/>
  <c r="U162" i="1"/>
  <c r="T162" i="1"/>
  <c r="S162" i="1"/>
  <c r="N162" i="1"/>
  <c r="M162" i="1"/>
  <c r="L162" i="1"/>
  <c r="H162" i="1"/>
  <c r="O162" i="1" s="1"/>
  <c r="G162" i="1"/>
  <c r="F162" i="1"/>
  <c r="E162" i="1"/>
  <c r="C162" i="1"/>
  <c r="A162" i="1"/>
  <c r="V161" i="1"/>
  <c r="U161" i="1"/>
  <c r="T161" i="1"/>
  <c r="S161" i="1"/>
  <c r="N161" i="1"/>
  <c r="M161" i="1"/>
  <c r="L161" i="1"/>
  <c r="H161" i="1"/>
  <c r="O161" i="1" s="1"/>
  <c r="G161" i="1"/>
  <c r="F161" i="1"/>
  <c r="E161" i="1"/>
  <c r="C161" i="1"/>
  <c r="A161" i="1"/>
  <c r="V160" i="1"/>
  <c r="U160" i="1"/>
  <c r="T160" i="1"/>
  <c r="S160" i="1"/>
  <c r="N160" i="1"/>
  <c r="M160" i="1"/>
  <c r="L160" i="1"/>
  <c r="H160" i="1"/>
  <c r="O160" i="1" s="1"/>
  <c r="G160" i="1"/>
  <c r="F160" i="1"/>
  <c r="E160" i="1"/>
  <c r="C160" i="1"/>
  <c r="A160" i="1"/>
  <c r="V159" i="1"/>
  <c r="U159" i="1"/>
  <c r="T159" i="1"/>
  <c r="S159" i="1"/>
  <c r="N159" i="1"/>
  <c r="M159" i="1"/>
  <c r="L159" i="1"/>
  <c r="H159" i="1"/>
  <c r="O159" i="1" s="1"/>
  <c r="G159" i="1"/>
  <c r="F159" i="1"/>
  <c r="E159" i="1"/>
  <c r="C159" i="1"/>
  <c r="A159" i="1"/>
  <c r="V158" i="1"/>
  <c r="U158" i="1"/>
  <c r="T158" i="1"/>
  <c r="S158" i="1"/>
  <c r="N158" i="1"/>
  <c r="M158" i="1"/>
  <c r="L158" i="1"/>
  <c r="H158" i="1"/>
  <c r="O158" i="1" s="1"/>
  <c r="G158" i="1"/>
  <c r="F158" i="1"/>
  <c r="E158" i="1"/>
  <c r="C158" i="1"/>
  <c r="A158" i="1"/>
  <c r="V157" i="1"/>
  <c r="U157" i="1"/>
  <c r="T157" i="1"/>
  <c r="S157" i="1"/>
  <c r="N157" i="1"/>
  <c r="M157" i="1"/>
  <c r="L157" i="1"/>
  <c r="H157" i="1"/>
  <c r="O157" i="1" s="1"/>
  <c r="G157" i="1"/>
  <c r="F157" i="1"/>
  <c r="E157" i="1"/>
  <c r="C157" i="1"/>
  <c r="A157" i="1"/>
  <c r="V156" i="1"/>
  <c r="U156" i="1"/>
  <c r="T156" i="1"/>
  <c r="S156" i="1"/>
  <c r="N156" i="1"/>
  <c r="M156" i="1"/>
  <c r="L156" i="1"/>
  <c r="H156" i="1"/>
  <c r="O156" i="1" s="1"/>
  <c r="G156" i="1"/>
  <c r="F156" i="1"/>
  <c r="E156" i="1"/>
  <c r="C156" i="1"/>
  <c r="A156" i="1"/>
  <c r="V155" i="1"/>
  <c r="U155" i="1"/>
  <c r="T155" i="1"/>
  <c r="S155" i="1"/>
  <c r="N155" i="1"/>
  <c r="M155" i="1"/>
  <c r="L155" i="1"/>
  <c r="H155" i="1"/>
  <c r="O155" i="1" s="1"/>
  <c r="G155" i="1"/>
  <c r="F155" i="1"/>
  <c r="E155" i="1"/>
  <c r="C155" i="1"/>
  <c r="A155" i="1"/>
  <c r="V154" i="1"/>
  <c r="U154" i="1"/>
  <c r="T154" i="1"/>
  <c r="S154" i="1"/>
  <c r="N154" i="1"/>
  <c r="M154" i="1"/>
  <c r="L154" i="1"/>
  <c r="H154" i="1"/>
  <c r="O154" i="1" s="1"/>
  <c r="G154" i="1"/>
  <c r="F154" i="1"/>
  <c r="E154" i="1"/>
  <c r="C154" i="1"/>
  <c r="A154" i="1"/>
  <c r="V153" i="1"/>
  <c r="U153" i="1"/>
  <c r="T153" i="1"/>
  <c r="S153" i="1"/>
  <c r="N153" i="1"/>
  <c r="M153" i="1"/>
  <c r="L153" i="1"/>
  <c r="H153" i="1"/>
  <c r="O153" i="1" s="1"/>
  <c r="G153" i="1"/>
  <c r="F153" i="1"/>
  <c r="E153" i="1"/>
  <c r="C153" i="1"/>
  <c r="A153" i="1"/>
  <c r="V152" i="1"/>
  <c r="U152" i="1"/>
  <c r="T152" i="1"/>
  <c r="S152" i="1"/>
  <c r="N152" i="1"/>
  <c r="M152" i="1"/>
  <c r="L152" i="1"/>
  <c r="H152" i="1"/>
  <c r="O152" i="1" s="1"/>
  <c r="G152" i="1"/>
  <c r="F152" i="1"/>
  <c r="E152" i="1"/>
  <c r="C152" i="1"/>
  <c r="A152" i="1"/>
  <c r="V151" i="1"/>
  <c r="U151" i="1"/>
  <c r="T151" i="1"/>
  <c r="S151" i="1"/>
  <c r="N151" i="1"/>
  <c r="M151" i="1"/>
  <c r="L151" i="1"/>
  <c r="H151" i="1"/>
  <c r="O151" i="1" s="1"/>
  <c r="G151" i="1"/>
  <c r="F151" i="1"/>
  <c r="E151" i="1"/>
  <c r="C151" i="1"/>
  <c r="A151" i="1"/>
  <c r="V150" i="1"/>
  <c r="U150" i="1"/>
  <c r="T150" i="1"/>
  <c r="S150" i="1"/>
  <c r="N150" i="1"/>
  <c r="M150" i="1"/>
  <c r="L150" i="1"/>
  <c r="H150" i="1"/>
  <c r="O150" i="1" s="1"/>
  <c r="G150" i="1"/>
  <c r="F150" i="1"/>
  <c r="E150" i="1"/>
  <c r="C150" i="1"/>
  <c r="A150" i="1"/>
  <c r="V149" i="1"/>
  <c r="U149" i="1"/>
  <c r="T149" i="1"/>
  <c r="S149" i="1"/>
  <c r="N149" i="1"/>
  <c r="M149" i="1"/>
  <c r="L149" i="1"/>
  <c r="H149" i="1"/>
  <c r="O149" i="1" s="1"/>
  <c r="G149" i="1"/>
  <c r="F149" i="1"/>
  <c r="E149" i="1"/>
  <c r="C149" i="1"/>
  <c r="A149" i="1"/>
  <c r="V148" i="1"/>
  <c r="U148" i="1"/>
  <c r="T148" i="1"/>
  <c r="S148" i="1"/>
  <c r="N148" i="1"/>
  <c r="M148" i="1"/>
  <c r="L148" i="1"/>
  <c r="H148" i="1"/>
  <c r="O148" i="1" s="1"/>
  <c r="G148" i="1"/>
  <c r="F148" i="1"/>
  <c r="E148" i="1"/>
  <c r="C148" i="1"/>
  <c r="A148" i="1"/>
  <c r="V147" i="1"/>
  <c r="U147" i="1"/>
  <c r="T147" i="1"/>
  <c r="S147" i="1"/>
  <c r="N147" i="1"/>
  <c r="M147" i="1"/>
  <c r="L147" i="1"/>
  <c r="H147" i="1"/>
  <c r="O147" i="1" s="1"/>
  <c r="G147" i="1"/>
  <c r="F147" i="1"/>
  <c r="E147" i="1"/>
  <c r="C147" i="1"/>
  <c r="A147" i="1"/>
  <c r="V146" i="1"/>
  <c r="U146" i="1"/>
  <c r="T146" i="1"/>
  <c r="S146" i="1"/>
  <c r="N146" i="1"/>
  <c r="M146" i="1"/>
  <c r="L146" i="1"/>
  <c r="H146" i="1"/>
  <c r="O146" i="1" s="1"/>
  <c r="G146" i="1"/>
  <c r="F146" i="1"/>
  <c r="E146" i="1"/>
  <c r="C146" i="1"/>
  <c r="A146" i="1"/>
  <c r="V145" i="1"/>
  <c r="U145" i="1"/>
  <c r="T145" i="1"/>
  <c r="S145" i="1"/>
  <c r="N145" i="1"/>
  <c r="M145" i="1"/>
  <c r="L145" i="1"/>
  <c r="H145" i="1"/>
  <c r="O145" i="1" s="1"/>
  <c r="G145" i="1"/>
  <c r="F145" i="1"/>
  <c r="E145" i="1"/>
  <c r="C145" i="1"/>
  <c r="A145" i="1"/>
  <c r="V144" i="1"/>
  <c r="U144" i="1"/>
  <c r="T144" i="1"/>
  <c r="S144" i="1"/>
  <c r="N144" i="1"/>
  <c r="M144" i="1"/>
  <c r="L144" i="1"/>
  <c r="H144" i="1"/>
  <c r="O144" i="1" s="1"/>
  <c r="G144" i="1"/>
  <c r="F144" i="1"/>
  <c r="E144" i="1"/>
  <c r="C144" i="1"/>
  <c r="A144" i="1"/>
  <c r="V143" i="1"/>
  <c r="U143" i="1"/>
  <c r="T143" i="1"/>
  <c r="S143" i="1"/>
  <c r="N143" i="1"/>
  <c r="M143" i="1"/>
  <c r="L143" i="1"/>
  <c r="H143" i="1"/>
  <c r="O143" i="1" s="1"/>
  <c r="G143" i="1"/>
  <c r="F143" i="1"/>
  <c r="E143" i="1"/>
  <c r="C143" i="1"/>
  <c r="A143" i="1"/>
  <c r="V142" i="1"/>
  <c r="U142" i="1"/>
  <c r="T142" i="1"/>
  <c r="S142" i="1"/>
  <c r="N142" i="1"/>
  <c r="M142" i="1"/>
  <c r="L142" i="1"/>
  <c r="H142" i="1"/>
  <c r="O142" i="1" s="1"/>
  <c r="G142" i="1"/>
  <c r="F142" i="1"/>
  <c r="E142" i="1"/>
  <c r="C142" i="1"/>
  <c r="A142" i="1"/>
  <c r="V141" i="1"/>
  <c r="U141" i="1"/>
  <c r="T141" i="1"/>
  <c r="S141" i="1"/>
  <c r="N141" i="1"/>
  <c r="M141" i="1"/>
  <c r="L141" i="1"/>
  <c r="H141" i="1"/>
  <c r="O141" i="1" s="1"/>
  <c r="G141" i="1"/>
  <c r="F141" i="1"/>
  <c r="E141" i="1"/>
  <c r="C141" i="1"/>
  <c r="A141" i="1"/>
  <c r="V140" i="1"/>
  <c r="U140" i="1"/>
  <c r="T140" i="1"/>
  <c r="S140" i="1"/>
  <c r="N140" i="1"/>
  <c r="M140" i="1"/>
  <c r="L140" i="1"/>
  <c r="H140" i="1"/>
  <c r="O140" i="1" s="1"/>
  <c r="G140" i="1"/>
  <c r="F140" i="1"/>
  <c r="E140" i="1"/>
  <c r="C140" i="1"/>
  <c r="A140" i="1"/>
  <c r="V139" i="1"/>
  <c r="U139" i="1"/>
  <c r="T139" i="1"/>
  <c r="S139" i="1"/>
  <c r="N139" i="1"/>
  <c r="M139" i="1"/>
  <c r="L139" i="1"/>
  <c r="H139" i="1"/>
  <c r="O139" i="1" s="1"/>
  <c r="G139" i="1"/>
  <c r="F139" i="1"/>
  <c r="E139" i="1"/>
  <c r="C139" i="1"/>
  <c r="A139" i="1"/>
  <c r="V138" i="1"/>
  <c r="U138" i="1"/>
  <c r="T138" i="1"/>
  <c r="S138" i="1"/>
  <c r="N138" i="1"/>
  <c r="M138" i="1"/>
  <c r="L138" i="1"/>
  <c r="H138" i="1"/>
  <c r="O138" i="1" s="1"/>
  <c r="G138" i="1"/>
  <c r="F138" i="1"/>
  <c r="E138" i="1"/>
  <c r="C138" i="1"/>
  <c r="A138" i="1"/>
  <c r="V137" i="1"/>
  <c r="U137" i="1"/>
  <c r="T137" i="1"/>
  <c r="S137" i="1"/>
  <c r="N137" i="1"/>
  <c r="M137" i="1"/>
  <c r="L137" i="1"/>
  <c r="H137" i="1"/>
  <c r="O137" i="1" s="1"/>
  <c r="G137" i="1"/>
  <c r="F137" i="1"/>
  <c r="E137" i="1"/>
  <c r="C137" i="1"/>
  <c r="A137" i="1"/>
  <c r="V136" i="1"/>
  <c r="U136" i="1"/>
  <c r="T136" i="1"/>
  <c r="S136" i="1"/>
  <c r="N136" i="1"/>
  <c r="M136" i="1"/>
  <c r="L136" i="1"/>
  <c r="H136" i="1"/>
  <c r="O136" i="1" s="1"/>
  <c r="G136" i="1"/>
  <c r="F136" i="1"/>
  <c r="E136" i="1"/>
  <c r="C136" i="1"/>
  <c r="A136" i="1"/>
  <c r="V135" i="1"/>
  <c r="U135" i="1"/>
  <c r="T135" i="1"/>
  <c r="S135" i="1"/>
  <c r="N135" i="1"/>
  <c r="M135" i="1"/>
  <c r="L135" i="1"/>
  <c r="H135" i="1"/>
  <c r="O135" i="1" s="1"/>
  <c r="G135" i="1"/>
  <c r="F135" i="1"/>
  <c r="E135" i="1"/>
  <c r="C135" i="1"/>
  <c r="A135" i="1"/>
  <c r="V134" i="1"/>
  <c r="U134" i="1"/>
  <c r="T134" i="1"/>
  <c r="S134" i="1"/>
  <c r="N134" i="1"/>
  <c r="M134" i="1"/>
  <c r="L134" i="1"/>
  <c r="H134" i="1"/>
  <c r="O134" i="1" s="1"/>
  <c r="G134" i="1"/>
  <c r="F134" i="1"/>
  <c r="E134" i="1"/>
  <c r="C134" i="1"/>
  <c r="A134" i="1"/>
  <c r="V133" i="1"/>
  <c r="U133" i="1"/>
  <c r="T133" i="1"/>
  <c r="S133" i="1"/>
  <c r="N133" i="1"/>
  <c r="M133" i="1"/>
  <c r="L133" i="1"/>
  <c r="H133" i="1"/>
  <c r="O133" i="1" s="1"/>
  <c r="G133" i="1"/>
  <c r="F133" i="1"/>
  <c r="E133" i="1"/>
  <c r="C133" i="1"/>
  <c r="A133" i="1"/>
  <c r="V132" i="1"/>
  <c r="U132" i="1"/>
  <c r="T132" i="1"/>
  <c r="S132" i="1"/>
  <c r="N132" i="1"/>
  <c r="M132" i="1"/>
  <c r="L132" i="1"/>
  <c r="H132" i="1"/>
  <c r="O132" i="1" s="1"/>
  <c r="G132" i="1"/>
  <c r="F132" i="1"/>
  <c r="E132" i="1"/>
  <c r="C132" i="1"/>
  <c r="A132" i="1"/>
  <c r="V131" i="1"/>
  <c r="U131" i="1"/>
  <c r="T131" i="1"/>
  <c r="S131" i="1"/>
  <c r="N131" i="1"/>
  <c r="M131" i="1"/>
  <c r="L131" i="1"/>
  <c r="H131" i="1"/>
  <c r="O131" i="1" s="1"/>
  <c r="G131" i="1"/>
  <c r="F131" i="1"/>
  <c r="E131" i="1"/>
  <c r="C131" i="1"/>
  <c r="A131" i="1"/>
  <c r="V130" i="1"/>
  <c r="U130" i="1"/>
  <c r="T130" i="1"/>
  <c r="S130" i="1"/>
  <c r="N130" i="1"/>
  <c r="M130" i="1"/>
  <c r="L130" i="1"/>
  <c r="H130" i="1"/>
  <c r="G130" i="1"/>
  <c r="F130" i="1"/>
  <c r="E130" i="1"/>
  <c r="C130" i="1"/>
  <c r="A130" i="1"/>
  <c r="V129" i="1"/>
  <c r="U129" i="1"/>
  <c r="T129" i="1"/>
  <c r="S129" i="1"/>
  <c r="N129" i="1"/>
  <c r="M129" i="1"/>
  <c r="L129" i="1"/>
  <c r="H129" i="1"/>
  <c r="O129" i="1" s="1"/>
  <c r="G129" i="1"/>
  <c r="F129" i="1"/>
  <c r="E129" i="1"/>
  <c r="C129" i="1"/>
  <c r="A129" i="1"/>
  <c r="V128" i="1"/>
  <c r="U128" i="1"/>
  <c r="T128" i="1"/>
  <c r="S128" i="1"/>
  <c r="N128" i="1"/>
  <c r="M128" i="1"/>
  <c r="L128" i="1"/>
  <c r="H128" i="1"/>
  <c r="O128" i="1" s="1"/>
  <c r="G128" i="1"/>
  <c r="F128" i="1"/>
  <c r="E128" i="1"/>
  <c r="C128" i="1"/>
  <c r="A128" i="1"/>
  <c r="V127" i="1"/>
  <c r="U127" i="1"/>
  <c r="T127" i="1"/>
  <c r="S127" i="1"/>
  <c r="N127" i="1"/>
  <c r="M127" i="1"/>
  <c r="L127" i="1"/>
  <c r="H127" i="1"/>
  <c r="O127" i="1" s="1"/>
  <c r="G127" i="1"/>
  <c r="F127" i="1"/>
  <c r="E127" i="1"/>
  <c r="C127" i="1"/>
  <c r="A127" i="1"/>
  <c r="V126" i="1"/>
  <c r="U126" i="1"/>
  <c r="T126" i="1"/>
  <c r="S126" i="1"/>
  <c r="N126" i="1"/>
  <c r="M126" i="1"/>
  <c r="L126" i="1"/>
  <c r="H126" i="1"/>
  <c r="G126" i="1"/>
  <c r="F126" i="1"/>
  <c r="E126" i="1"/>
  <c r="C126" i="1"/>
  <c r="A126" i="1"/>
  <c r="V125" i="1"/>
  <c r="U125" i="1"/>
  <c r="T125" i="1"/>
  <c r="S125" i="1"/>
  <c r="N125" i="1"/>
  <c r="M125" i="1"/>
  <c r="L125" i="1"/>
  <c r="H125" i="1"/>
  <c r="O125" i="1" s="1"/>
  <c r="G125" i="1"/>
  <c r="F125" i="1"/>
  <c r="E125" i="1"/>
  <c r="C125" i="1"/>
  <c r="A125" i="1"/>
  <c r="V124" i="1"/>
  <c r="U124" i="1"/>
  <c r="T124" i="1"/>
  <c r="S124" i="1"/>
  <c r="N124" i="1"/>
  <c r="M124" i="1"/>
  <c r="L124" i="1"/>
  <c r="H124" i="1"/>
  <c r="O124" i="1" s="1"/>
  <c r="G124" i="1"/>
  <c r="F124" i="1"/>
  <c r="E124" i="1"/>
  <c r="C124" i="1"/>
  <c r="A124" i="1"/>
  <c r="V123" i="1"/>
  <c r="U123" i="1"/>
  <c r="T123" i="1"/>
  <c r="S123" i="1"/>
  <c r="N123" i="1"/>
  <c r="M123" i="1"/>
  <c r="L123" i="1"/>
  <c r="H123" i="1"/>
  <c r="O123" i="1" s="1"/>
  <c r="G123" i="1"/>
  <c r="F123" i="1"/>
  <c r="E123" i="1"/>
  <c r="C123" i="1"/>
  <c r="A123" i="1"/>
  <c r="V122" i="1"/>
  <c r="U122" i="1"/>
  <c r="T122" i="1"/>
  <c r="S122" i="1"/>
  <c r="N122" i="1"/>
  <c r="M122" i="1"/>
  <c r="L122" i="1"/>
  <c r="H122" i="1"/>
  <c r="G122" i="1"/>
  <c r="F122" i="1"/>
  <c r="E122" i="1"/>
  <c r="C122" i="1"/>
  <c r="A122" i="1"/>
  <c r="V121" i="1"/>
  <c r="U121" i="1"/>
  <c r="T121" i="1"/>
  <c r="S121" i="1"/>
  <c r="N121" i="1"/>
  <c r="M121" i="1"/>
  <c r="L121" i="1"/>
  <c r="H121" i="1"/>
  <c r="O121" i="1" s="1"/>
  <c r="G121" i="1"/>
  <c r="F121" i="1"/>
  <c r="E121" i="1"/>
  <c r="C121" i="1"/>
  <c r="A121" i="1"/>
  <c r="V120" i="1"/>
  <c r="U120" i="1"/>
  <c r="T120" i="1"/>
  <c r="S120" i="1"/>
  <c r="N120" i="1"/>
  <c r="M120" i="1"/>
  <c r="L120" i="1"/>
  <c r="H120" i="1"/>
  <c r="O120" i="1" s="1"/>
  <c r="G120" i="1"/>
  <c r="F120" i="1"/>
  <c r="E120" i="1"/>
  <c r="C120" i="1"/>
  <c r="A120" i="1"/>
  <c r="V119" i="1"/>
  <c r="U119" i="1"/>
  <c r="T119" i="1"/>
  <c r="S119" i="1"/>
  <c r="N119" i="1"/>
  <c r="M119" i="1"/>
  <c r="L119" i="1"/>
  <c r="H119" i="1"/>
  <c r="O119" i="1" s="1"/>
  <c r="G119" i="1"/>
  <c r="F119" i="1"/>
  <c r="E119" i="1"/>
  <c r="C119" i="1"/>
  <c r="A119" i="1"/>
  <c r="V118" i="1"/>
  <c r="U118" i="1"/>
  <c r="T118" i="1"/>
  <c r="S118" i="1"/>
  <c r="N118" i="1"/>
  <c r="M118" i="1"/>
  <c r="L118" i="1"/>
  <c r="H118" i="1"/>
  <c r="O118" i="1" s="1"/>
  <c r="G118" i="1"/>
  <c r="F118" i="1"/>
  <c r="E118" i="1"/>
  <c r="C118" i="1"/>
  <c r="A118" i="1"/>
  <c r="V117" i="1"/>
  <c r="U117" i="1"/>
  <c r="T117" i="1"/>
  <c r="S117" i="1"/>
  <c r="N117" i="1"/>
  <c r="M117" i="1"/>
  <c r="L117" i="1"/>
  <c r="H117" i="1"/>
  <c r="O117" i="1" s="1"/>
  <c r="G117" i="1"/>
  <c r="F117" i="1"/>
  <c r="E117" i="1"/>
  <c r="C117" i="1"/>
  <c r="A117" i="1"/>
  <c r="V116" i="1"/>
  <c r="U116" i="1"/>
  <c r="T116" i="1"/>
  <c r="S116" i="1"/>
  <c r="N116" i="1"/>
  <c r="M116" i="1"/>
  <c r="L116" i="1"/>
  <c r="H116" i="1"/>
  <c r="O116" i="1" s="1"/>
  <c r="G116" i="1"/>
  <c r="F116" i="1"/>
  <c r="E116" i="1"/>
  <c r="C116" i="1"/>
  <c r="A116" i="1"/>
  <c r="V115" i="1"/>
  <c r="U115" i="1"/>
  <c r="T115" i="1"/>
  <c r="S115" i="1"/>
  <c r="N115" i="1"/>
  <c r="M115" i="1"/>
  <c r="L115" i="1"/>
  <c r="H115" i="1"/>
  <c r="O115" i="1" s="1"/>
  <c r="G115" i="1"/>
  <c r="F115" i="1"/>
  <c r="E115" i="1"/>
  <c r="C115" i="1"/>
  <c r="A115" i="1"/>
  <c r="V114" i="1"/>
  <c r="U114" i="1"/>
  <c r="T114" i="1"/>
  <c r="S114" i="1"/>
  <c r="N114" i="1"/>
  <c r="M114" i="1"/>
  <c r="L114" i="1"/>
  <c r="H114" i="1"/>
  <c r="O114" i="1" s="1"/>
  <c r="G114" i="1"/>
  <c r="F114" i="1"/>
  <c r="E114" i="1"/>
  <c r="C114" i="1"/>
  <c r="A114" i="1"/>
  <c r="V113" i="1"/>
  <c r="U113" i="1"/>
  <c r="T113" i="1"/>
  <c r="S113" i="1"/>
  <c r="N113" i="1"/>
  <c r="M113" i="1"/>
  <c r="L113" i="1"/>
  <c r="H113" i="1"/>
  <c r="O113" i="1" s="1"/>
  <c r="G113" i="1"/>
  <c r="F113" i="1"/>
  <c r="E113" i="1"/>
  <c r="C113" i="1"/>
  <c r="A113" i="1"/>
  <c r="V112" i="1"/>
  <c r="U112" i="1"/>
  <c r="T112" i="1"/>
  <c r="S112" i="1"/>
  <c r="N112" i="1"/>
  <c r="M112" i="1"/>
  <c r="L112" i="1"/>
  <c r="H112" i="1"/>
  <c r="O112" i="1" s="1"/>
  <c r="G112" i="1"/>
  <c r="F112" i="1"/>
  <c r="E112" i="1"/>
  <c r="C112" i="1"/>
  <c r="A112" i="1"/>
  <c r="V111" i="1"/>
  <c r="U111" i="1"/>
  <c r="T111" i="1"/>
  <c r="S111" i="1"/>
  <c r="N111" i="1"/>
  <c r="M111" i="1"/>
  <c r="L111" i="1"/>
  <c r="H111" i="1"/>
  <c r="O111" i="1" s="1"/>
  <c r="G111" i="1"/>
  <c r="F111" i="1"/>
  <c r="E111" i="1"/>
  <c r="C111" i="1"/>
  <c r="A111" i="1"/>
  <c r="V110" i="1"/>
  <c r="U110" i="1"/>
  <c r="T110" i="1"/>
  <c r="S110" i="1"/>
  <c r="N110" i="1"/>
  <c r="M110" i="1"/>
  <c r="L110" i="1"/>
  <c r="H110" i="1"/>
  <c r="O110" i="1" s="1"/>
  <c r="G110" i="1"/>
  <c r="F110" i="1"/>
  <c r="E110" i="1"/>
  <c r="C110" i="1"/>
  <c r="A110" i="1"/>
  <c r="V109" i="1"/>
  <c r="U109" i="1"/>
  <c r="T109" i="1"/>
  <c r="S109" i="1"/>
  <c r="N109" i="1"/>
  <c r="M109" i="1"/>
  <c r="L109" i="1"/>
  <c r="H109" i="1"/>
  <c r="O109" i="1" s="1"/>
  <c r="G109" i="1"/>
  <c r="F109" i="1"/>
  <c r="E109" i="1"/>
  <c r="C109" i="1"/>
  <c r="A109" i="1"/>
  <c r="V108" i="1"/>
  <c r="U108" i="1"/>
  <c r="T108" i="1"/>
  <c r="S108" i="1"/>
  <c r="N108" i="1"/>
  <c r="M108" i="1"/>
  <c r="L108" i="1"/>
  <c r="H108" i="1"/>
  <c r="O108" i="1" s="1"/>
  <c r="G108" i="1"/>
  <c r="F108" i="1"/>
  <c r="E108" i="1"/>
  <c r="C108" i="1"/>
  <c r="A108" i="1"/>
  <c r="V107" i="1"/>
  <c r="U107" i="1"/>
  <c r="T107" i="1"/>
  <c r="S107" i="1"/>
  <c r="N107" i="1"/>
  <c r="M107" i="1"/>
  <c r="L107" i="1"/>
  <c r="H107" i="1"/>
  <c r="O107" i="1" s="1"/>
  <c r="G107" i="1"/>
  <c r="F107" i="1"/>
  <c r="E107" i="1"/>
  <c r="C107" i="1"/>
  <c r="A107" i="1"/>
  <c r="V106" i="1"/>
  <c r="U106" i="1"/>
  <c r="T106" i="1"/>
  <c r="S106" i="1"/>
  <c r="N106" i="1"/>
  <c r="M106" i="1"/>
  <c r="L106" i="1"/>
  <c r="H106" i="1"/>
  <c r="O106" i="1" s="1"/>
  <c r="G106" i="1"/>
  <c r="F106" i="1"/>
  <c r="E106" i="1"/>
  <c r="C106" i="1"/>
  <c r="A106" i="1"/>
  <c r="V105" i="1"/>
  <c r="U105" i="1"/>
  <c r="T105" i="1"/>
  <c r="S105" i="1"/>
  <c r="N105" i="1"/>
  <c r="M105" i="1"/>
  <c r="L105" i="1"/>
  <c r="H105" i="1"/>
  <c r="O105" i="1" s="1"/>
  <c r="G105" i="1"/>
  <c r="F105" i="1"/>
  <c r="E105" i="1"/>
  <c r="C105" i="1"/>
  <c r="A105" i="1"/>
  <c r="V104" i="1"/>
  <c r="U104" i="1"/>
  <c r="T104" i="1"/>
  <c r="S104" i="1"/>
  <c r="N104" i="1"/>
  <c r="M104" i="1"/>
  <c r="L104" i="1"/>
  <c r="H104" i="1"/>
  <c r="O104" i="1" s="1"/>
  <c r="G104" i="1"/>
  <c r="F104" i="1"/>
  <c r="E104" i="1"/>
  <c r="C104" i="1"/>
  <c r="A104" i="1"/>
  <c r="V103" i="1"/>
  <c r="U103" i="1"/>
  <c r="T103" i="1"/>
  <c r="S103" i="1"/>
  <c r="N103" i="1"/>
  <c r="M103" i="1"/>
  <c r="L103" i="1"/>
  <c r="H103" i="1"/>
  <c r="O103" i="1" s="1"/>
  <c r="G103" i="1"/>
  <c r="F103" i="1"/>
  <c r="E103" i="1"/>
  <c r="C103" i="1"/>
  <c r="A103" i="1"/>
  <c r="V102" i="1"/>
  <c r="U102" i="1"/>
  <c r="T102" i="1"/>
  <c r="S102" i="1"/>
  <c r="N102" i="1"/>
  <c r="M102" i="1"/>
  <c r="L102" i="1"/>
  <c r="H102" i="1"/>
  <c r="O102" i="1" s="1"/>
  <c r="G102" i="1"/>
  <c r="F102" i="1"/>
  <c r="E102" i="1"/>
  <c r="C102" i="1"/>
  <c r="A102" i="1"/>
  <c r="V101" i="1"/>
  <c r="U101" i="1"/>
  <c r="T101" i="1"/>
  <c r="S101" i="1"/>
  <c r="N101" i="1"/>
  <c r="M101" i="1"/>
  <c r="L101" i="1"/>
  <c r="H101" i="1"/>
  <c r="O101" i="1" s="1"/>
  <c r="G101" i="1"/>
  <c r="F101" i="1"/>
  <c r="E101" i="1"/>
  <c r="C101" i="1"/>
  <c r="A101" i="1"/>
  <c r="V100" i="1"/>
  <c r="U100" i="1"/>
  <c r="T100" i="1"/>
  <c r="S100" i="1"/>
  <c r="N100" i="1"/>
  <c r="M100" i="1"/>
  <c r="L100" i="1"/>
  <c r="H100" i="1"/>
  <c r="O100" i="1" s="1"/>
  <c r="G100" i="1"/>
  <c r="F100" i="1"/>
  <c r="E100" i="1"/>
  <c r="C100" i="1"/>
  <c r="A100" i="1"/>
  <c r="V99" i="1"/>
  <c r="U99" i="1"/>
  <c r="T99" i="1"/>
  <c r="S99" i="1"/>
  <c r="N99" i="1"/>
  <c r="M99" i="1"/>
  <c r="L99" i="1"/>
  <c r="H99" i="1"/>
  <c r="O99" i="1" s="1"/>
  <c r="G99" i="1"/>
  <c r="F99" i="1"/>
  <c r="E99" i="1"/>
  <c r="C99" i="1"/>
  <c r="A99" i="1"/>
  <c r="V98" i="1"/>
  <c r="U98" i="1"/>
  <c r="T98" i="1"/>
  <c r="S98" i="1"/>
  <c r="N98" i="1"/>
  <c r="M98" i="1"/>
  <c r="L98" i="1"/>
  <c r="H98" i="1"/>
  <c r="O98" i="1" s="1"/>
  <c r="G98" i="1"/>
  <c r="F98" i="1"/>
  <c r="E98" i="1"/>
  <c r="C98" i="1"/>
  <c r="A98" i="1"/>
  <c r="V97" i="1"/>
  <c r="U97" i="1"/>
  <c r="T97" i="1"/>
  <c r="S97" i="1"/>
  <c r="N97" i="1"/>
  <c r="M97" i="1"/>
  <c r="L97" i="1"/>
  <c r="H97" i="1"/>
  <c r="O97" i="1" s="1"/>
  <c r="G97" i="1"/>
  <c r="F97" i="1"/>
  <c r="E97" i="1"/>
  <c r="C97" i="1"/>
  <c r="A97" i="1"/>
  <c r="V96" i="1"/>
  <c r="U96" i="1"/>
  <c r="T96" i="1"/>
  <c r="S96" i="1"/>
  <c r="N96" i="1"/>
  <c r="M96" i="1"/>
  <c r="L96" i="1"/>
  <c r="H96" i="1"/>
  <c r="O96" i="1" s="1"/>
  <c r="G96" i="1"/>
  <c r="F96" i="1"/>
  <c r="E96" i="1"/>
  <c r="C96" i="1"/>
  <c r="A96" i="1"/>
  <c r="V95" i="1"/>
  <c r="U95" i="1"/>
  <c r="T95" i="1"/>
  <c r="S95" i="1"/>
  <c r="N95" i="1"/>
  <c r="M95" i="1"/>
  <c r="L95" i="1"/>
  <c r="H95" i="1"/>
  <c r="O95" i="1" s="1"/>
  <c r="G95" i="1"/>
  <c r="F95" i="1"/>
  <c r="E95" i="1"/>
  <c r="C95" i="1"/>
  <c r="A95" i="1"/>
  <c r="V94" i="1"/>
  <c r="U94" i="1"/>
  <c r="T94" i="1"/>
  <c r="S94" i="1"/>
  <c r="N94" i="1"/>
  <c r="M94" i="1"/>
  <c r="L94" i="1"/>
  <c r="H94" i="1"/>
  <c r="O94" i="1" s="1"/>
  <c r="G94" i="1"/>
  <c r="F94" i="1"/>
  <c r="E94" i="1"/>
  <c r="C94" i="1"/>
  <c r="A94" i="1"/>
  <c r="V93" i="1"/>
  <c r="U93" i="1"/>
  <c r="T93" i="1"/>
  <c r="S93" i="1"/>
  <c r="N93" i="1"/>
  <c r="M93" i="1"/>
  <c r="L93" i="1"/>
  <c r="H93" i="1"/>
  <c r="O93" i="1" s="1"/>
  <c r="G93" i="1"/>
  <c r="F93" i="1"/>
  <c r="E93" i="1"/>
  <c r="C93" i="1"/>
  <c r="A93" i="1"/>
  <c r="V92" i="1"/>
  <c r="U92" i="1"/>
  <c r="T92" i="1"/>
  <c r="S92" i="1"/>
  <c r="N92" i="1"/>
  <c r="M92" i="1"/>
  <c r="L92" i="1"/>
  <c r="H92" i="1"/>
  <c r="O92" i="1" s="1"/>
  <c r="G92" i="1"/>
  <c r="F92" i="1"/>
  <c r="E92" i="1"/>
  <c r="C92" i="1"/>
  <c r="A92" i="1"/>
  <c r="V91" i="1"/>
  <c r="U91" i="1"/>
  <c r="T91" i="1"/>
  <c r="S91" i="1"/>
  <c r="N91" i="1"/>
  <c r="M91" i="1"/>
  <c r="L91" i="1"/>
  <c r="H91" i="1"/>
  <c r="O91" i="1" s="1"/>
  <c r="G91" i="1"/>
  <c r="F91" i="1"/>
  <c r="E91" i="1"/>
  <c r="C91" i="1"/>
  <c r="A91" i="1"/>
  <c r="V90" i="1"/>
  <c r="U90" i="1"/>
  <c r="T90" i="1"/>
  <c r="S90" i="1"/>
  <c r="N90" i="1"/>
  <c r="M90" i="1"/>
  <c r="L90" i="1"/>
  <c r="H90" i="1"/>
  <c r="O90" i="1" s="1"/>
  <c r="G90" i="1"/>
  <c r="F90" i="1"/>
  <c r="E90" i="1"/>
  <c r="C90" i="1"/>
  <c r="A90" i="1"/>
  <c r="V89" i="1"/>
  <c r="U89" i="1"/>
  <c r="T89" i="1"/>
  <c r="S89" i="1"/>
  <c r="N89" i="1"/>
  <c r="M89" i="1"/>
  <c r="L89" i="1"/>
  <c r="H89" i="1"/>
  <c r="O89" i="1" s="1"/>
  <c r="G89" i="1"/>
  <c r="F89" i="1"/>
  <c r="E89" i="1"/>
  <c r="C89" i="1"/>
  <c r="A89" i="1"/>
  <c r="V88" i="1"/>
  <c r="U88" i="1"/>
  <c r="T88" i="1"/>
  <c r="S88" i="1"/>
  <c r="N88" i="1"/>
  <c r="M88" i="1"/>
  <c r="L88" i="1"/>
  <c r="H88" i="1"/>
  <c r="O88" i="1" s="1"/>
  <c r="G88" i="1"/>
  <c r="F88" i="1"/>
  <c r="E88" i="1"/>
  <c r="C88" i="1"/>
  <c r="A88" i="1"/>
  <c r="V87" i="1"/>
  <c r="U87" i="1"/>
  <c r="T87" i="1"/>
  <c r="S87" i="1"/>
  <c r="N87" i="1"/>
  <c r="M87" i="1"/>
  <c r="L87" i="1"/>
  <c r="H87" i="1"/>
  <c r="O87" i="1" s="1"/>
  <c r="G87" i="1"/>
  <c r="F87" i="1"/>
  <c r="E87" i="1"/>
  <c r="C87" i="1"/>
  <c r="A87" i="1"/>
  <c r="V86" i="1"/>
  <c r="U86" i="1"/>
  <c r="T86" i="1"/>
  <c r="S86" i="1"/>
  <c r="N86" i="1"/>
  <c r="M86" i="1"/>
  <c r="L86" i="1"/>
  <c r="H86" i="1"/>
  <c r="O86" i="1" s="1"/>
  <c r="G86" i="1"/>
  <c r="F86" i="1"/>
  <c r="E86" i="1"/>
  <c r="C86" i="1"/>
  <c r="A86" i="1"/>
  <c r="V85" i="1"/>
  <c r="U85" i="1"/>
  <c r="T85" i="1"/>
  <c r="S85" i="1"/>
  <c r="N85" i="1"/>
  <c r="M85" i="1"/>
  <c r="L85" i="1"/>
  <c r="H85" i="1"/>
  <c r="O85" i="1" s="1"/>
  <c r="G85" i="1"/>
  <c r="F85" i="1"/>
  <c r="E85" i="1"/>
  <c r="C85" i="1"/>
  <c r="A85" i="1"/>
  <c r="V84" i="1"/>
  <c r="U84" i="1"/>
  <c r="T84" i="1"/>
  <c r="S84" i="1"/>
  <c r="N84" i="1"/>
  <c r="M84" i="1"/>
  <c r="L84" i="1"/>
  <c r="H84" i="1"/>
  <c r="O84" i="1" s="1"/>
  <c r="G84" i="1"/>
  <c r="F84" i="1"/>
  <c r="E84" i="1"/>
  <c r="C84" i="1"/>
  <c r="A84" i="1"/>
  <c r="V83" i="1"/>
  <c r="U83" i="1"/>
  <c r="T83" i="1"/>
  <c r="S83" i="1"/>
  <c r="N83" i="1"/>
  <c r="M83" i="1"/>
  <c r="L83" i="1"/>
  <c r="H83" i="1"/>
  <c r="O83" i="1" s="1"/>
  <c r="G83" i="1"/>
  <c r="F83" i="1"/>
  <c r="E83" i="1"/>
  <c r="C83" i="1"/>
  <c r="A83" i="1"/>
  <c r="V82" i="1"/>
  <c r="U82" i="1"/>
  <c r="T82" i="1"/>
  <c r="S82" i="1"/>
  <c r="N82" i="1"/>
  <c r="M82" i="1"/>
  <c r="L82" i="1"/>
  <c r="H82" i="1"/>
  <c r="O82" i="1" s="1"/>
  <c r="G82" i="1"/>
  <c r="F82" i="1"/>
  <c r="E82" i="1"/>
  <c r="C82" i="1"/>
  <c r="A82" i="1"/>
  <c r="V81" i="1"/>
  <c r="U81" i="1"/>
  <c r="T81" i="1"/>
  <c r="S81" i="1"/>
  <c r="N81" i="1"/>
  <c r="M81" i="1"/>
  <c r="L81" i="1"/>
  <c r="H81" i="1"/>
  <c r="O81" i="1" s="1"/>
  <c r="G81" i="1"/>
  <c r="F81" i="1"/>
  <c r="E81" i="1"/>
  <c r="C81" i="1"/>
  <c r="A81" i="1"/>
  <c r="V80" i="1"/>
  <c r="U80" i="1"/>
  <c r="T80" i="1"/>
  <c r="S80" i="1"/>
  <c r="N80" i="1"/>
  <c r="M80" i="1"/>
  <c r="L80" i="1"/>
  <c r="H80" i="1"/>
  <c r="O80" i="1" s="1"/>
  <c r="G80" i="1"/>
  <c r="F80" i="1"/>
  <c r="E80" i="1"/>
  <c r="C80" i="1"/>
  <c r="A80" i="1"/>
  <c r="V79" i="1"/>
  <c r="U79" i="1"/>
  <c r="T79" i="1"/>
  <c r="S79" i="1"/>
  <c r="N79" i="1"/>
  <c r="M79" i="1"/>
  <c r="L79" i="1"/>
  <c r="H79" i="1"/>
  <c r="O79" i="1" s="1"/>
  <c r="G79" i="1"/>
  <c r="F79" i="1"/>
  <c r="E79" i="1"/>
  <c r="C79" i="1"/>
  <c r="A79" i="1"/>
  <c r="V78" i="1"/>
  <c r="U78" i="1"/>
  <c r="T78" i="1"/>
  <c r="S78" i="1"/>
  <c r="N78" i="1"/>
  <c r="M78" i="1"/>
  <c r="L78" i="1"/>
  <c r="H78" i="1"/>
  <c r="O78" i="1" s="1"/>
  <c r="G78" i="1"/>
  <c r="F78" i="1"/>
  <c r="E78" i="1"/>
  <c r="C78" i="1"/>
  <c r="A78" i="1"/>
  <c r="V77" i="1"/>
  <c r="U77" i="1"/>
  <c r="T77" i="1"/>
  <c r="S77" i="1"/>
  <c r="N77" i="1"/>
  <c r="M77" i="1"/>
  <c r="L77" i="1"/>
  <c r="H77" i="1"/>
  <c r="O77" i="1" s="1"/>
  <c r="G77" i="1"/>
  <c r="F77" i="1"/>
  <c r="E77" i="1"/>
  <c r="C77" i="1"/>
  <c r="A77" i="1"/>
  <c r="V76" i="1"/>
  <c r="U76" i="1"/>
  <c r="T76" i="1"/>
  <c r="S76" i="1"/>
  <c r="N76" i="1"/>
  <c r="M76" i="1"/>
  <c r="L76" i="1"/>
  <c r="H76" i="1"/>
  <c r="O76" i="1" s="1"/>
  <c r="G76" i="1"/>
  <c r="F76" i="1"/>
  <c r="E76" i="1"/>
  <c r="C76" i="1"/>
  <c r="A76" i="1"/>
  <c r="V75" i="1"/>
  <c r="U75" i="1"/>
  <c r="T75" i="1"/>
  <c r="S75" i="1"/>
  <c r="N75" i="1"/>
  <c r="M75" i="1"/>
  <c r="L75" i="1"/>
  <c r="H75" i="1"/>
  <c r="O75" i="1" s="1"/>
  <c r="G75" i="1"/>
  <c r="F75" i="1"/>
  <c r="E75" i="1"/>
  <c r="C75" i="1"/>
  <c r="A75" i="1"/>
  <c r="V74" i="1"/>
  <c r="U74" i="1"/>
  <c r="T74" i="1"/>
  <c r="S74" i="1"/>
  <c r="N74" i="1"/>
  <c r="M74" i="1"/>
  <c r="L74" i="1"/>
  <c r="H74" i="1"/>
  <c r="O74" i="1" s="1"/>
  <c r="G74" i="1"/>
  <c r="F74" i="1"/>
  <c r="E74" i="1"/>
  <c r="C74" i="1"/>
  <c r="A74" i="1"/>
  <c r="V73" i="1"/>
  <c r="U73" i="1"/>
  <c r="T73" i="1"/>
  <c r="S73" i="1"/>
  <c r="N73" i="1"/>
  <c r="M73" i="1"/>
  <c r="L73" i="1"/>
  <c r="H73" i="1"/>
  <c r="O73" i="1" s="1"/>
  <c r="G73" i="1"/>
  <c r="F73" i="1"/>
  <c r="E73" i="1"/>
  <c r="C73" i="1"/>
  <c r="A73" i="1"/>
  <c r="V72" i="1"/>
  <c r="U72" i="1"/>
  <c r="T72" i="1"/>
  <c r="S72" i="1"/>
  <c r="N72" i="1"/>
  <c r="M72" i="1"/>
  <c r="L72" i="1"/>
  <c r="H72" i="1"/>
  <c r="O72" i="1" s="1"/>
  <c r="G72" i="1"/>
  <c r="F72" i="1"/>
  <c r="E72" i="1"/>
  <c r="C72" i="1"/>
  <c r="A72" i="1"/>
  <c r="V71" i="1"/>
  <c r="U71" i="1"/>
  <c r="T71" i="1"/>
  <c r="S71" i="1"/>
  <c r="N71" i="1"/>
  <c r="M71" i="1"/>
  <c r="L71" i="1"/>
  <c r="H71" i="1"/>
  <c r="O71" i="1" s="1"/>
  <c r="G71" i="1"/>
  <c r="F71" i="1"/>
  <c r="E71" i="1"/>
  <c r="C71" i="1"/>
  <c r="A71" i="1"/>
  <c r="V70" i="1"/>
  <c r="U70" i="1"/>
  <c r="T70" i="1"/>
  <c r="S70" i="1"/>
  <c r="N70" i="1"/>
  <c r="M70" i="1"/>
  <c r="L70" i="1"/>
  <c r="H70" i="1"/>
  <c r="O70" i="1" s="1"/>
  <c r="G70" i="1"/>
  <c r="F70" i="1"/>
  <c r="E70" i="1"/>
  <c r="C70" i="1"/>
  <c r="A70" i="1"/>
  <c r="V69" i="1"/>
  <c r="U69" i="1"/>
  <c r="T69" i="1"/>
  <c r="S69" i="1"/>
  <c r="N69" i="1"/>
  <c r="M69" i="1"/>
  <c r="L69" i="1"/>
  <c r="H69" i="1"/>
  <c r="O69" i="1" s="1"/>
  <c r="G69" i="1"/>
  <c r="F69" i="1"/>
  <c r="E69" i="1"/>
  <c r="C69" i="1"/>
  <c r="A69" i="1"/>
  <c r="V68" i="1"/>
  <c r="U68" i="1"/>
  <c r="T68" i="1"/>
  <c r="S68" i="1"/>
  <c r="N68" i="1"/>
  <c r="M68" i="1"/>
  <c r="L68" i="1"/>
  <c r="H68" i="1"/>
  <c r="O68" i="1" s="1"/>
  <c r="G68" i="1"/>
  <c r="F68" i="1"/>
  <c r="E68" i="1"/>
  <c r="C68" i="1"/>
  <c r="A68" i="1"/>
  <c r="V67" i="1"/>
  <c r="U67" i="1"/>
  <c r="T67" i="1"/>
  <c r="S67" i="1"/>
  <c r="N67" i="1"/>
  <c r="M67" i="1"/>
  <c r="L67" i="1"/>
  <c r="H67" i="1"/>
  <c r="O67" i="1" s="1"/>
  <c r="G67" i="1"/>
  <c r="F67" i="1"/>
  <c r="E67" i="1"/>
  <c r="C67" i="1"/>
  <c r="A67" i="1"/>
  <c r="V66" i="1"/>
  <c r="U66" i="1"/>
  <c r="T66" i="1"/>
  <c r="S66" i="1"/>
  <c r="N66" i="1"/>
  <c r="M66" i="1"/>
  <c r="L66" i="1"/>
  <c r="H66" i="1"/>
  <c r="O66" i="1" s="1"/>
  <c r="G66" i="1"/>
  <c r="F66" i="1"/>
  <c r="E66" i="1"/>
  <c r="C66" i="1"/>
  <c r="A66" i="1"/>
  <c r="V65" i="1"/>
  <c r="U65" i="1"/>
  <c r="T65" i="1"/>
  <c r="S65" i="1"/>
  <c r="N65" i="1"/>
  <c r="M65" i="1"/>
  <c r="L65" i="1"/>
  <c r="H65" i="1"/>
  <c r="O65" i="1" s="1"/>
  <c r="G65" i="1"/>
  <c r="F65" i="1"/>
  <c r="E65" i="1"/>
  <c r="C65" i="1"/>
  <c r="A65" i="1"/>
  <c r="V64" i="1"/>
  <c r="U64" i="1"/>
  <c r="T64" i="1"/>
  <c r="S64" i="1"/>
  <c r="N64" i="1"/>
  <c r="M64" i="1"/>
  <c r="L64" i="1"/>
  <c r="H64" i="1"/>
  <c r="O64" i="1" s="1"/>
  <c r="G64" i="1"/>
  <c r="F64" i="1"/>
  <c r="E64" i="1"/>
  <c r="C64" i="1"/>
  <c r="A64" i="1"/>
  <c r="V63" i="1"/>
  <c r="U63" i="1"/>
  <c r="T63" i="1"/>
  <c r="S63" i="1"/>
  <c r="N63" i="1"/>
  <c r="M63" i="1"/>
  <c r="L63" i="1"/>
  <c r="H63" i="1"/>
  <c r="O63" i="1" s="1"/>
  <c r="G63" i="1"/>
  <c r="F63" i="1"/>
  <c r="E63" i="1"/>
  <c r="C63" i="1"/>
  <c r="A63" i="1"/>
  <c r="V62" i="1"/>
  <c r="U62" i="1"/>
  <c r="T62" i="1"/>
  <c r="S62" i="1"/>
  <c r="N62" i="1"/>
  <c r="M62" i="1"/>
  <c r="L62" i="1"/>
  <c r="H62" i="1"/>
  <c r="O62" i="1" s="1"/>
  <c r="G62" i="1"/>
  <c r="F62" i="1"/>
  <c r="E62" i="1"/>
  <c r="C62" i="1"/>
  <c r="A62" i="1"/>
  <c r="V61" i="1"/>
  <c r="U61" i="1"/>
  <c r="T61" i="1"/>
  <c r="S61" i="1"/>
  <c r="N61" i="1"/>
  <c r="M61" i="1"/>
  <c r="L61" i="1"/>
  <c r="H61" i="1"/>
  <c r="O61" i="1" s="1"/>
  <c r="G61" i="1"/>
  <c r="F61" i="1"/>
  <c r="E61" i="1"/>
  <c r="C61" i="1"/>
  <c r="A61" i="1"/>
  <c r="V60" i="1"/>
  <c r="U60" i="1"/>
  <c r="T60" i="1"/>
  <c r="S60" i="1"/>
  <c r="N60" i="1"/>
  <c r="M60" i="1"/>
  <c r="L60" i="1"/>
  <c r="H60" i="1"/>
  <c r="O60" i="1" s="1"/>
  <c r="G60" i="1"/>
  <c r="F60" i="1"/>
  <c r="E60" i="1"/>
  <c r="C60" i="1"/>
  <c r="A60" i="1"/>
  <c r="V59" i="1"/>
  <c r="U59" i="1"/>
  <c r="T59" i="1"/>
  <c r="S59" i="1"/>
  <c r="N59" i="1"/>
  <c r="M59" i="1"/>
  <c r="L59" i="1"/>
  <c r="H59" i="1"/>
  <c r="O59" i="1" s="1"/>
  <c r="G59" i="1"/>
  <c r="F59" i="1"/>
  <c r="E59" i="1"/>
  <c r="C59" i="1"/>
  <c r="A59" i="1"/>
  <c r="V58" i="1"/>
  <c r="U58" i="1"/>
  <c r="T58" i="1"/>
  <c r="S58" i="1"/>
  <c r="N58" i="1"/>
  <c r="M58" i="1"/>
  <c r="L58" i="1"/>
  <c r="H58" i="1"/>
  <c r="O58" i="1" s="1"/>
  <c r="G58" i="1"/>
  <c r="F58" i="1"/>
  <c r="E58" i="1"/>
  <c r="C58" i="1"/>
  <c r="A58" i="1"/>
  <c r="V57" i="1"/>
  <c r="U57" i="1"/>
  <c r="T57" i="1"/>
  <c r="S57" i="1"/>
  <c r="N57" i="1"/>
  <c r="M57" i="1"/>
  <c r="L57" i="1"/>
  <c r="H57" i="1"/>
  <c r="O57" i="1" s="1"/>
  <c r="G57" i="1"/>
  <c r="F57" i="1"/>
  <c r="E57" i="1"/>
  <c r="C57" i="1"/>
  <c r="A57" i="1"/>
  <c r="V56" i="1"/>
  <c r="U56" i="1"/>
  <c r="T56" i="1"/>
  <c r="S56" i="1"/>
  <c r="N56" i="1"/>
  <c r="M56" i="1"/>
  <c r="L56" i="1"/>
  <c r="H56" i="1"/>
  <c r="O56" i="1" s="1"/>
  <c r="G56" i="1"/>
  <c r="F56" i="1"/>
  <c r="E56" i="1"/>
  <c r="C56" i="1"/>
  <c r="A56" i="1"/>
  <c r="V55" i="1"/>
  <c r="U55" i="1"/>
  <c r="T55" i="1"/>
  <c r="S55" i="1"/>
  <c r="N55" i="1"/>
  <c r="M55" i="1"/>
  <c r="L55" i="1"/>
  <c r="H55" i="1"/>
  <c r="O55" i="1" s="1"/>
  <c r="G55" i="1"/>
  <c r="F55" i="1"/>
  <c r="E55" i="1"/>
  <c r="C55" i="1"/>
  <c r="A55" i="1"/>
  <c r="V54" i="1"/>
  <c r="U54" i="1"/>
  <c r="T54" i="1"/>
  <c r="S54" i="1"/>
  <c r="N54" i="1"/>
  <c r="M54" i="1"/>
  <c r="L54" i="1"/>
  <c r="H54" i="1"/>
  <c r="O54" i="1" s="1"/>
  <c r="G54" i="1"/>
  <c r="F54" i="1"/>
  <c r="E54" i="1"/>
  <c r="C54" i="1"/>
  <c r="A54" i="1"/>
  <c r="V53" i="1"/>
  <c r="U53" i="1"/>
  <c r="T53" i="1"/>
  <c r="S53" i="1"/>
  <c r="N53" i="1"/>
  <c r="M53" i="1"/>
  <c r="L53" i="1"/>
  <c r="H53" i="1"/>
  <c r="O53" i="1" s="1"/>
  <c r="G53" i="1"/>
  <c r="F53" i="1"/>
  <c r="E53" i="1"/>
  <c r="C53" i="1"/>
  <c r="A53" i="1"/>
  <c r="V52" i="1"/>
  <c r="U52" i="1"/>
  <c r="T52" i="1"/>
  <c r="S52" i="1"/>
  <c r="N52" i="1"/>
  <c r="M52" i="1"/>
  <c r="L52" i="1"/>
  <c r="H52" i="1"/>
  <c r="O52" i="1" s="1"/>
  <c r="G52" i="1"/>
  <c r="F52" i="1"/>
  <c r="E52" i="1"/>
  <c r="C52" i="1"/>
  <c r="A52" i="1"/>
  <c r="V51" i="1"/>
  <c r="U51" i="1"/>
  <c r="T51" i="1"/>
  <c r="S51" i="1"/>
  <c r="N51" i="1"/>
  <c r="M51" i="1"/>
  <c r="L51" i="1"/>
  <c r="H51" i="1"/>
  <c r="O51" i="1" s="1"/>
  <c r="G51" i="1"/>
  <c r="F51" i="1"/>
  <c r="E51" i="1"/>
  <c r="C51" i="1"/>
  <c r="A51" i="1"/>
  <c r="V50" i="1"/>
  <c r="U50" i="1"/>
  <c r="T50" i="1"/>
  <c r="S50" i="1"/>
  <c r="N50" i="1"/>
  <c r="M50" i="1"/>
  <c r="L50" i="1"/>
  <c r="H50" i="1"/>
  <c r="O50" i="1" s="1"/>
  <c r="G50" i="1"/>
  <c r="F50" i="1"/>
  <c r="E50" i="1"/>
  <c r="C50" i="1"/>
  <c r="A50" i="1"/>
  <c r="V49" i="1"/>
  <c r="U49" i="1"/>
  <c r="T49" i="1"/>
  <c r="S49" i="1"/>
  <c r="N49" i="1"/>
  <c r="M49" i="1"/>
  <c r="L49" i="1"/>
  <c r="H49" i="1"/>
  <c r="O49" i="1" s="1"/>
  <c r="G49" i="1"/>
  <c r="F49" i="1"/>
  <c r="E49" i="1"/>
  <c r="C49" i="1"/>
  <c r="A49" i="1"/>
  <c r="V48" i="1"/>
  <c r="U48" i="1"/>
  <c r="T48" i="1"/>
  <c r="S48" i="1"/>
  <c r="N48" i="1"/>
  <c r="M48" i="1"/>
  <c r="L48" i="1"/>
  <c r="H48" i="1"/>
  <c r="O48" i="1" s="1"/>
  <c r="G48" i="1"/>
  <c r="F48" i="1"/>
  <c r="E48" i="1"/>
  <c r="C48" i="1"/>
  <c r="A48" i="1"/>
  <c r="V47" i="1"/>
  <c r="U47" i="1"/>
  <c r="T47" i="1"/>
  <c r="S47" i="1"/>
  <c r="N47" i="1"/>
  <c r="M47" i="1"/>
  <c r="L47" i="1"/>
  <c r="H47" i="1"/>
  <c r="O47" i="1" s="1"/>
  <c r="G47" i="1"/>
  <c r="F47" i="1"/>
  <c r="E47" i="1"/>
  <c r="C47" i="1"/>
  <c r="A47" i="1"/>
  <c r="V46" i="1"/>
  <c r="U46" i="1"/>
  <c r="T46" i="1"/>
  <c r="S46" i="1"/>
  <c r="N46" i="1"/>
  <c r="M46" i="1"/>
  <c r="L46" i="1"/>
  <c r="H46" i="1"/>
  <c r="O46" i="1" s="1"/>
  <c r="G46" i="1"/>
  <c r="F46" i="1"/>
  <c r="E46" i="1"/>
  <c r="C46" i="1"/>
  <c r="A46" i="1"/>
  <c r="V45" i="1"/>
  <c r="U45" i="1"/>
  <c r="T45" i="1"/>
  <c r="S45" i="1"/>
  <c r="N45" i="1"/>
  <c r="M45" i="1"/>
  <c r="L45" i="1"/>
  <c r="H45" i="1"/>
  <c r="O45" i="1" s="1"/>
  <c r="G45" i="1"/>
  <c r="F45" i="1"/>
  <c r="E45" i="1"/>
  <c r="C45" i="1"/>
  <c r="A45" i="1"/>
  <c r="V44" i="1"/>
  <c r="U44" i="1"/>
  <c r="T44" i="1"/>
  <c r="S44" i="1"/>
  <c r="N44" i="1"/>
  <c r="I8" i="2" s="1"/>
  <c r="M44" i="1"/>
  <c r="H8" i="2" s="1"/>
  <c r="L44" i="1"/>
  <c r="G44" i="1"/>
  <c r="F44" i="1"/>
  <c r="E44" i="1"/>
  <c r="C44" i="1"/>
  <c r="A44" i="1"/>
  <c r="V43" i="1"/>
  <c r="U43" i="1"/>
  <c r="T43" i="1"/>
  <c r="S43" i="1"/>
  <c r="N43" i="1"/>
  <c r="M43" i="1"/>
  <c r="L43" i="1"/>
  <c r="G43" i="1"/>
  <c r="F43" i="1"/>
  <c r="E43" i="1"/>
  <c r="C43" i="1"/>
  <c r="A43" i="1"/>
  <c r="V42" i="1"/>
  <c r="U42" i="1"/>
  <c r="T42" i="1"/>
  <c r="S42" i="1"/>
  <c r="N42" i="1"/>
  <c r="M42" i="1"/>
  <c r="L42" i="1"/>
  <c r="G42" i="1"/>
  <c r="F42" i="1"/>
  <c r="E42" i="1"/>
  <c r="C42" i="1"/>
  <c r="A42" i="1"/>
  <c r="V41" i="1"/>
  <c r="U41" i="1"/>
  <c r="T41" i="1"/>
  <c r="S41" i="1"/>
  <c r="N41" i="1"/>
  <c r="M41" i="1"/>
  <c r="L41" i="1"/>
  <c r="G41" i="1"/>
  <c r="F41" i="1"/>
  <c r="E41" i="1"/>
  <c r="C41" i="1"/>
  <c r="A41" i="1"/>
  <c r="V40" i="1"/>
  <c r="U40" i="1"/>
  <c r="T40" i="1"/>
  <c r="S40" i="1"/>
  <c r="N40" i="1"/>
  <c r="M40" i="1"/>
  <c r="L40" i="1"/>
  <c r="G40" i="1"/>
  <c r="F40" i="1"/>
  <c r="E40" i="1"/>
  <c r="C40" i="1"/>
  <c r="A40" i="1"/>
  <c r="V39" i="1"/>
  <c r="U39" i="1"/>
  <c r="T39" i="1"/>
  <c r="S39" i="1"/>
  <c r="N39" i="1"/>
  <c r="M39" i="1"/>
  <c r="L39" i="1"/>
  <c r="G39" i="1"/>
  <c r="F39" i="1"/>
  <c r="E39" i="1"/>
  <c r="C39" i="1"/>
  <c r="A39" i="1"/>
  <c r="V38" i="1"/>
  <c r="U38" i="1"/>
  <c r="T38" i="1"/>
  <c r="S38" i="1"/>
  <c r="N38" i="1"/>
  <c r="M38" i="1"/>
  <c r="L38" i="1"/>
  <c r="G38" i="1"/>
  <c r="F38" i="1"/>
  <c r="E38" i="1"/>
  <c r="C38" i="1"/>
  <c r="A38" i="1"/>
  <c r="V37" i="1"/>
  <c r="U37" i="1"/>
  <c r="T37" i="1"/>
  <c r="S37" i="1"/>
  <c r="N37" i="1"/>
  <c r="M37" i="1"/>
  <c r="L37" i="1"/>
  <c r="G37" i="1"/>
  <c r="F37" i="1"/>
  <c r="E37" i="1"/>
  <c r="C37" i="1"/>
  <c r="A37" i="1"/>
  <c r="V36" i="1"/>
  <c r="U36" i="1"/>
  <c r="T36" i="1"/>
  <c r="S36" i="1"/>
  <c r="N36" i="1"/>
  <c r="M36" i="1"/>
  <c r="L36" i="1"/>
  <c r="H36" i="1"/>
  <c r="O36" i="1" s="1"/>
  <c r="G36" i="1"/>
  <c r="F36" i="1"/>
  <c r="E36" i="1"/>
  <c r="C36" i="1"/>
  <c r="B8" i="2" s="1"/>
  <c r="A36" i="1"/>
  <c r="V35" i="1"/>
  <c r="U35" i="1"/>
  <c r="T35" i="1"/>
  <c r="S35" i="1"/>
  <c r="N35" i="1"/>
  <c r="I7" i="2" s="1"/>
  <c r="M35" i="1"/>
  <c r="H7" i="2" s="1"/>
  <c r="L35" i="1"/>
  <c r="G35" i="1"/>
  <c r="F35" i="1"/>
  <c r="E35" i="1"/>
  <c r="C35" i="1"/>
  <c r="A35" i="1"/>
  <c r="V34" i="1"/>
  <c r="U34" i="1"/>
  <c r="T34" i="1"/>
  <c r="S34" i="1"/>
  <c r="N34" i="1"/>
  <c r="M34" i="1"/>
  <c r="L34" i="1"/>
  <c r="G34" i="1"/>
  <c r="F34" i="1"/>
  <c r="E34" i="1"/>
  <c r="C34" i="1"/>
  <c r="A34" i="1"/>
  <c r="V33" i="1"/>
  <c r="U33" i="1"/>
  <c r="T33" i="1"/>
  <c r="S33" i="1"/>
  <c r="N33" i="1"/>
  <c r="M33" i="1"/>
  <c r="L33" i="1"/>
  <c r="G33" i="1"/>
  <c r="F33" i="1"/>
  <c r="E33" i="1"/>
  <c r="C33" i="1"/>
  <c r="A33" i="1"/>
  <c r="V32" i="1"/>
  <c r="U32" i="1"/>
  <c r="T32" i="1"/>
  <c r="S32" i="1"/>
  <c r="N32" i="1"/>
  <c r="M32" i="1"/>
  <c r="L32" i="1"/>
  <c r="G32" i="1"/>
  <c r="F32" i="1"/>
  <c r="E32" i="1"/>
  <c r="C32" i="1"/>
  <c r="A32" i="1"/>
  <c r="V31" i="1"/>
  <c r="U31" i="1"/>
  <c r="T31" i="1"/>
  <c r="S31" i="1"/>
  <c r="N31" i="1"/>
  <c r="M31" i="1"/>
  <c r="L31" i="1"/>
  <c r="G31" i="1"/>
  <c r="F31" i="1"/>
  <c r="E31" i="1"/>
  <c r="C31" i="1"/>
  <c r="A31" i="1"/>
  <c r="V30" i="1"/>
  <c r="U30" i="1"/>
  <c r="T30" i="1"/>
  <c r="S30" i="1"/>
  <c r="N30" i="1"/>
  <c r="M30" i="1"/>
  <c r="L30" i="1"/>
  <c r="G30" i="1"/>
  <c r="F30" i="1"/>
  <c r="E30" i="1"/>
  <c r="C30" i="1"/>
  <c r="A30" i="1"/>
  <c r="V29" i="1"/>
  <c r="U29" i="1"/>
  <c r="T29" i="1"/>
  <c r="S29" i="1"/>
  <c r="N29" i="1"/>
  <c r="M29" i="1"/>
  <c r="L29" i="1"/>
  <c r="G29" i="1"/>
  <c r="F29" i="1"/>
  <c r="E29" i="1"/>
  <c r="C29" i="1"/>
  <c r="A29" i="1"/>
  <c r="V28" i="1"/>
  <c r="U28" i="1"/>
  <c r="T28" i="1"/>
  <c r="S28" i="1"/>
  <c r="N28" i="1"/>
  <c r="M28" i="1"/>
  <c r="L28" i="1"/>
  <c r="G28" i="1"/>
  <c r="F28" i="1"/>
  <c r="E28" i="1"/>
  <c r="C28" i="1"/>
  <c r="A28" i="1"/>
  <c r="V27" i="1"/>
  <c r="U27" i="1"/>
  <c r="T27" i="1"/>
  <c r="S27" i="1"/>
  <c r="N27" i="1"/>
  <c r="M27" i="1"/>
  <c r="L27" i="1"/>
  <c r="G27" i="1"/>
  <c r="F27" i="1"/>
  <c r="E27" i="1"/>
  <c r="C27" i="1"/>
  <c r="A27" i="1"/>
  <c r="V26" i="1"/>
  <c r="U26" i="1"/>
  <c r="T26" i="1"/>
  <c r="S26" i="1"/>
  <c r="N26" i="1"/>
  <c r="M26" i="1"/>
  <c r="L26" i="1"/>
  <c r="G7" i="2" s="1"/>
  <c r="H26" i="1"/>
  <c r="O26" i="1" s="1"/>
  <c r="G26" i="1"/>
  <c r="F26" i="1"/>
  <c r="E26" i="1"/>
  <c r="C26" i="1"/>
  <c r="B7" i="2" s="1"/>
  <c r="A26" i="1"/>
  <c r="V25" i="1"/>
  <c r="U25" i="1"/>
  <c r="T25" i="1"/>
  <c r="S25" i="1"/>
  <c r="N25" i="1"/>
  <c r="I6" i="2" s="1"/>
  <c r="M25" i="1"/>
  <c r="H6" i="2" s="1"/>
  <c r="L25" i="1"/>
  <c r="G25" i="1"/>
  <c r="F25" i="1"/>
  <c r="E25" i="1"/>
  <c r="C25" i="1"/>
  <c r="A25" i="1"/>
  <c r="V24" i="1"/>
  <c r="U24" i="1"/>
  <c r="T24" i="1"/>
  <c r="S24" i="1"/>
  <c r="N24" i="1"/>
  <c r="M24" i="1"/>
  <c r="L24" i="1"/>
  <c r="G24" i="1"/>
  <c r="F24" i="1"/>
  <c r="E24" i="1"/>
  <c r="C24" i="1"/>
  <c r="A24" i="1"/>
  <c r="V23" i="1"/>
  <c r="U23" i="1"/>
  <c r="T23" i="1"/>
  <c r="S23" i="1"/>
  <c r="N23" i="1"/>
  <c r="M23" i="1"/>
  <c r="L23" i="1"/>
  <c r="G23" i="1"/>
  <c r="F23" i="1"/>
  <c r="E23" i="1"/>
  <c r="C23" i="1"/>
  <c r="A23" i="1"/>
  <c r="V22" i="1"/>
  <c r="U22" i="1"/>
  <c r="T22" i="1"/>
  <c r="S22" i="1"/>
  <c r="N22" i="1"/>
  <c r="M22" i="1"/>
  <c r="L22" i="1"/>
  <c r="G22" i="1"/>
  <c r="F22" i="1"/>
  <c r="E22" i="1"/>
  <c r="C22" i="1"/>
  <c r="A22" i="1"/>
  <c r="V21" i="1"/>
  <c r="U21" i="1"/>
  <c r="T21" i="1"/>
  <c r="S21" i="1"/>
  <c r="N21" i="1"/>
  <c r="M21" i="1"/>
  <c r="L21" i="1"/>
  <c r="G21" i="1"/>
  <c r="F21" i="1"/>
  <c r="E21" i="1"/>
  <c r="C21" i="1"/>
  <c r="A21" i="1"/>
  <c r="V20" i="1"/>
  <c r="U20" i="1"/>
  <c r="T20" i="1"/>
  <c r="S20" i="1"/>
  <c r="N20" i="1"/>
  <c r="M20" i="1"/>
  <c r="L20" i="1"/>
  <c r="G20" i="1"/>
  <c r="F20" i="1"/>
  <c r="E20" i="1"/>
  <c r="C20" i="1"/>
  <c r="A20" i="1"/>
  <c r="V19" i="1"/>
  <c r="U19" i="1"/>
  <c r="T19" i="1"/>
  <c r="S19" i="1"/>
  <c r="N19" i="1"/>
  <c r="M19" i="1"/>
  <c r="L19" i="1"/>
  <c r="G19" i="1"/>
  <c r="F19" i="1"/>
  <c r="E19" i="1"/>
  <c r="C19" i="1"/>
  <c r="A19" i="1"/>
  <c r="V18" i="1"/>
  <c r="U18" i="1"/>
  <c r="T18" i="1"/>
  <c r="S18" i="1"/>
  <c r="N18" i="1"/>
  <c r="M18" i="1"/>
  <c r="L18" i="1"/>
  <c r="G18" i="1"/>
  <c r="F18" i="1"/>
  <c r="E18" i="1"/>
  <c r="C18" i="1"/>
  <c r="A18" i="1"/>
  <c r="V17" i="1"/>
  <c r="U17" i="1"/>
  <c r="T17" i="1"/>
  <c r="S17" i="1"/>
  <c r="N17" i="1"/>
  <c r="M17" i="1"/>
  <c r="L17" i="1"/>
  <c r="H17" i="1"/>
  <c r="O17" i="1" s="1"/>
  <c r="G17" i="1"/>
  <c r="F17" i="1"/>
  <c r="E17" i="1"/>
  <c r="C17" i="1"/>
  <c r="B6" i="2" s="1"/>
  <c r="A17" i="1"/>
  <c r="V16" i="1"/>
  <c r="U16" i="1"/>
  <c r="T16" i="1"/>
  <c r="S16" i="1"/>
  <c r="N16" i="1"/>
  <c r="I5" i="2" s="1"/>
  <c r="M16" i="1"/>
  <c r="H5" i="2" s="1"/>
  <c r="L16" i="1"/>
  <c r="H16" i="1"/>
  <c r="O16" i="1" s="1"/>
  <c r="J5" i="2" s="1"/>
  <c r="G16" i="1"/>
  <c r="F16" i="1"/>
  <c r="E16" i="1"/>
  <c r="C16" i="1"/>
  <c r="A16" i="1"/>
  <c r="V15" i="1"/>
  <c r="U15" i="1"/>
  <c r="T15" i="1"/>
  <c r="S15" i="1"/>
  <c r="N15" i="1"/>
  <c r="M15" i="1"/>
  <c r="L15" i="1"/>
  <c r="G15" i="1"/>
  <c r="F15" i="1"/>
  <c r="E15" i="1"/>
  <c r="C15" i="1"/>
  <c r="A15" i="1"/>
  <c r="V14" i="1"/>
  <c r="U14" i="1"/>
  <c r="T14" i="1"/>
  <c r="S14" i="1"/>
  <c r="N14" i="1"/>
  <c r="M14" i="1"/>
  <c r="L14" i="1"/>
  <c r="G5" i="2" s="1"/>
  <c r="H14" i="1"/>
  <c r="O14" i="1" s="1"/>
  <c r="G14" i="1"/>
  <c r="F14" i="1"/>
  <c r="E14" i="1"/>
  <c r="C14" i="1"/>
  <c r="B5" i="2" s="1"/>
  <c r="A14" i="1"/>
  <c r="V13" i="1"/>
  <c r="U13" i="1"/>
  <c r="T13" i="1"/>
  <c r="S13" i="1"/>
  <c r="N13" i="1"/>
  <c r="I4" i="2" s="1"/>
  <c r="M13" i="1"/>
  <c r="H4" i="2" s="1"/>
  <c r="L13" i="1"/>
  <c r="G13" i="1"/>
  <c r="F13" i="1"/>
  <c r="E13" i="1"/>
  <c r="C13" i="1"/>
  <c r="A13" i="1"/>
  <c r="V12" i="1"/>
  <c r="U12" i="1"/>
  <c r="T12" i="1"/>
  <c r="S12" i="1"/>
  <c r="N12" i="1"/>
  <c r="M12" i="1"/>
  <c r="L12" i="1"/>
  <c r="G12" i="1"/>
  <c r="F12" i="1"/>
  <c r="E12" i="1"/>
  <c r="C12" i="1"/>
  <c r="A12" i="1"/>
  <c r="V11" i="1"/>
  <c r="U11" i="1"/>
  <c r="T11" i="1"/>
  <c r="S11" i="1"/>
  <c r="N11" i="1"/>
  <c r="M11" i="1"/>
  <c r="L11" i="1"/>
  <c r="G11" i="1"/>
  <c r="F11" i="1"/>
  <c r="E11" i="1"/>
  <c r="C11" i="1"/>
  <c r="A11" i="1"/>
  <c r="V10" i="1"/>
  <c r="U10" i="1"/>
  <c r="S10" i="1"/>
  <c r="N10" i="1"/>
  <c r="M10" i="1"/>
  <c r="L10" i="1"/>
  <c r="G10" i="1"/>
  <c r="F10" i="1"/>
  <c r="E10" i="1"/>
  <c r="C10" i="1"/>
  <c r="A10" i="1"/>
  <c r="V9" i="1"/>
  <c r="U9" i="1"/>
  <c r="T9" i="1"/>
  <c r="S9" i="1"/>
  <c r="N9" i="1"/>
  <c r="M9" i="1"/>
  <c r="L9" i="1"/>
  <c r="G9" i="1"/>
  <c r="F9" i="1"/>
  <c r="E9" i="1"/>
  <c r="C9" i="1"/>
  <c r="A9" i="1"/>
  <c r="V8" i="1"/>
  <c r="U8" i="1"/>
  <c r="T8" i="1"/>
  <c r="S8" i="1"/>
  <c r="N8" i="1"/>
  <c r="M8" i="1"/>
  <c r="L8" i="1"/>
  <c r="G8" i="1"/>
  <c r="F8" i="1"/>
  <c r="E8" i="1"/>
  <c r="C8" i="1"/>
  <c r="A8" i="1"/>
  <c r="V7" i="1"/>
  <c r="U7" i="1"/>
  <c r="T7" i="1"/>
  <c r="S7" i="1"/>
  <c r="N7" i="1"/>
  <c r="M7" i="1"/>
  <c r="L7" i="1"/>
  <c r="W30" i="1" s="1"/>
  <c r="G7" i="1"/>
  <c r="F7" i="1"/>
  <c r="E7" i="1"/>
  <c r="C7" i="1"/>
  <c r="A7" i="1"/>
  <c r="V6" i="1"/>
  <c r="S6" i="1"/>
  <c r="N6" i="1"/>
  <c r="M6" i="1"/>
  <c r="L6" i="1"/>
  <c r="G6" i="1"/>
  <c r="F6" i="1"/>
  <c r="E6" i="1"/>
  <c r="C6" i="1"/>
  <c r="A6" i="1"/>
  <c r="W5" i="1"/>
  <c r="S5" i="1"/>
  <c r="N5" i="1"/>
  <c r="M5" i="1"/>
  <c r="L5" i="1"/>
  <c r="G5" i="1"/>
  <c r="F5" i="1"/>
  <c r="E5" i="1"/>
  <c r="C5" i="1"/>
  <c r="A5" i="1"/>
  <c r="U4" i="1"/>
  <c r="T4" i="1"/>
  <c r="S4" i="1"/>
  <c r="N4" i="1"/>
  <c r="M4" i="1"/>
  <c r="L4" i="1"/>
  <c r="H4" i="1"/>
  <c r="O4" i="1" s="1"/>
  <c r="G4" i="1"/>
  <c r="F4" i="1"/>
  <c r="E4" i="1"/>
  <c r="C4" i="1"/>
  <c r="B4" i="2" s="1"/>
  <c r="A4" i="1"/>
  <c r="U3" i="1"/>
  <c r="T3" i="1"/>
  <c r="S3" i="1"/>
  <c r="N3" i="1"/>
  <c r="I3" i="2" s="1"/>
  <c r="M3" i="1"/>
  <c r="H3" i="2" s="1"/>
  <c r="H15" i="2" s="1"/>
  <c r="L3" i="1"/>
  <c r="W173" i="1" s="1"/>
  <c r="H3" i="1"/>
  <c r="O3" i="1" s="1"/>
  <c r="J3" i="2" s="1"/>
  <c r="G3" i="1"/>
  <c r="F3" i="1"/>
  <c r="E3" i="1"/>
  <c r="C3" i="1"/>
  <c r="B3" i="2" s="1"/>
  <c r="A3" i="1"/>
  <c r="W22" i="1" l="1"/>
  <c r="W26" i="1"/>
  <c r="W14" i="1"/>
  <c r="W18" i="1"/>
  <c r="W10" i="1"/>
  <c r="W7" i="1"/>
  <c r="G4" i="2"/>
  <c r="H5" i="1"/>
  <c r="O5" i="1" s="1"/>
  <c r="H6" i="1" s="1"/>
  <c r="O6" i="1" s="1"/>
  <c r="H7" i="1" s="1"/>
  <c r="O7" i="1" s="1"/>
  <c r="H8" i="1" s="1"/>
  <c r="O8" i="1" s="1"/>
  <c r="H9" i="1" s="1"/>
  <c r="O9" i="1" s="1"/>
  <c r="H10" i="1" s="1"/>
  <c r="O10" i="1" s="1"/>
  <c r="H11" i="1" s="1"/>
  <c r="O11" i="1" s="1"/>
  <c r="H12" i="1" s="1"/>
  <c r="O12" i="1" s="1"/>
  <c r="H13" i="1" s="1"/>
  <c r="O13" i="1" s="1"/>
  <c r="W9" i="1"/>
  <c r="H15" i="1"/>
  <c r="O15" i="1" s="1"/>
  <c r="W20" i="1"/>
  <c r="H27" i="1"/>
  <c r="O27" i="1" s="1"/>
  <c r="W28" i="1"/>
  <c r="W32" i="1"/>
  <c r="G8" i="2"/>
  <c r="W36" i="1"/>
  <c r="W40" i="1"/>
  <c r="W44" i="1"/>
  <c r="W48" i="1"/>
  <c r="W52" i="1"/>
  <c r="W56" i="1"/>
  <c r="W60" i="1"/>
  <c r="W64" i="1"/>
  <c r="W68" i="1"/>
  <c r="W72" i="1"/>
  <c r="W76" i="1"/>
  <c r="W80" i="1"/>
  <c r="W84" i="1"/>
  <c r="W88" i="1"/>
  <c r="W92" i="1"/>
  <c r="W96" i="1"/>
  <c r="W100" i="1"/>
  <c r="W104" i="1"/>
  <c r="W108" i="1"/>
  <c r="W112" i="1"/>
  <c r="W116" i="1"/>
  <c r="W120" i="1"/>
  <c r="W128" i="1"/>
  <c r="W133" i="1"/>
  <c r="W137" i="1"/>
  <c r="W141" i="1"/>
  <c r="W145" i="1"/>
  <c r="W149" i="1"/>
  <c r="W153" i="1"/>
  <c r="W157" i="1"/>
  <c r="W165" i="1"/>
  <c r="W257" i="1"/>
  <c r="W253" i="1"/>
  <c r="W249" i="1"/>
  <c r="W245" i="1"/>
  <c r="W241" i="1"/>
  <c r="W237" i="1"/>
  <c r="W233" i="1"/>
  <c r="W229" i="1"/>
  <c r="W225" i="1"/>
  <c r="W221" i="1"/>
  <c r="W217" i="1"/>
  <c r="W213" i="1"/>
  <c r="W209" i="1"/>
  <c r="W205" i="1"/>
  <c r="W201" i="1"/>
  <c r="W197" i="1"/>
  <c r="W193" i="1"/>
  <c r="W189" i="1"/>
  <c r="W185" i="1"/>
  <c r="W181" i="1"/>
  <c r="W254" i="1"/>
  <c r="W250" i="1"/>
  <c r="W246" i="1"/>
  <c r="W242" i="1"/>
  <c r="W238" i="1"/>
  <c r="W234" i="1"/>
  <c r="W230" i="1"/>
  <c r="W226" i="1"/>
  <c r="W222" i="1"/>
  <c r="W218" i="1"/>
  <c r="W214" i="1"/>
  <c r="W210" i="1"/>
  <c r="W206" i="1"/>
  <c r="W202" i="1"/>
  <c r="W198" i="1"/>
  <c r="W194" i="1"/>
  <c r="W190" i="1"/>
  <c r="W186" i="1"/>
  <c r="W182" i="1"/>
  <c r="W178" i="1"/>
  <c r="W174" i="1"/>
  <c r="W170" i="1"/>
  <c r="W166" i="1"/>
  <c r="W162" i="1"/>
  <c r="W158" i="1"/>
  <c r="G3" i="2"/>
  <c r="W255" i="1"/>
  <c r="W251" i="1"/>
  <c r="W247" i="1"/>
  <c r="W243" i="1"/>
  <c r="W239" i="1"/>
  <c r="W235" i="1"/>
  <c r="W231" i="1"/>
  <c r="W227" i="1"/>
  <c r="W223" i="1"/>
  <c r="W219" i="1"/>
  <c r="W215" i="1"/>
  <c r="W211" i="1"/>
  <c r="W207" i="1"/>
  <c r="W203" i="1"/>
  <c r="W199" i="1"/>
  <c r="W195" i="1"/>
  <c r="W191" i="1"/>
  <c r="W187" i="1"/>
  <c r="W183" i="1"/>
  <c r="W179" i="1"/>
  <c r="W175" i="1"/>
  <c r="W171" i="1"/>
  <c r="W167" i="1"/>
  <c r="W163" i="1"/>
  <c r="W159" i="1"/>
  <c r="W155" i="1"/>
  <c r="W151" i="1"/>
  <c r="W147" i="1"/>
  <c r="W143" i="1"/>
  <c r="W139" i="1"/>
  <c r="W135" i="1"/>
  <c r="W131" i="1"/>
  <c r="W127" i="1"/>
  <c r="W123" i="1"/>
  <c r="W256" i="1"/>
  <c r="W252" i="1"/>
  <c r="W248" i="1"/>
  <c r="W244" i="1"/>
  <c r="W240" i="1"/>
  <c r="W236" i="1"/>
  <c r="W232" i="1"/>
  <c r="W228" i="1"/>
  <c r="W224" i="1"/>
  <c r="W220" i="1"/>
  <c r="W216" i="1"/>
  <c r="W212" i="1"/>
  <c r="W208" i="1"/>
  <c r="W204" i="1"/>
  <c r="W200" i="1"/>
  <c r="W196" i="1"/>
  <c r="W192" i="1"/>
  <c r="W188" i="1"/>
  <c r="W184" i="1"/>
  <c r="W180" i="1"/>
  <c r="W176" i="1"/>
  <c r="W172" i="1"/>
  <c r="W168" i="1"/>
  <c r="W164" i="1"/>
  <c r="W160" i="1"/>
  <c r="W156" i="1"/>
  <c r="W152" i="1"/>
  <c r="W148" i="1"/>
  <c r="W144" i="1"/>
  <c r="W140" i="1"/>
  <c r="W136" i="1"/>
  <c r="W132" i="1"/>
  <c r="W12" i="1"/>
  <c r="W16" i="1"/>
  <c r="H19" i="1"/>
  <c r="O19" i="1" s="1"/>
  <c r="W24" i="1"/>
  <c r="I15" i="2"/>
  <c r="W8" i="1"/>
  <c r="W11" i="1"/>
  <c r="W15" i="1"/>
  <c r="H18" i="1"/>
  <c r="O18" i="1" s="1"/>
  <c r="W19" i="1"/>
  <c r="W23" i="1"/>
  <c r="W27" i="1"/>
  <c r="W31" i="1"/>
  <c r="W35" i="1"/>
  <c r="W39" i="1"/>
  <c r="W43" i="1"/>
  <c r="W47" i="1"/>
  <c r="W51" i="1"/>
  <c r="W55" i="1"/>
  <c r="W59" i="1"/>
  <c r="W63" i="1"/>
  <c r="W67" i="1"/>
  <c r="W71" i="1"/>
  <c r="W75" i="1"/>
  <c r="W79" i="1"/>
  <c r="W83" i="1"/>
  <c r="W87" i="1"/>
  <c r="W91" i="1"/>
  <c r="W95" i="1"/>
  <c r="W99" i="1"/>
  <c r="W103" i="1"/>
  <c r="W107" i="1"/>
  <c r="W111" i="1"/>
  <c r="W115" i="1"/>
  <c r="W119" i="1"/>
  <c r="O122" i="1"/>
  <c r="W122" i="1"/>
  <c r="W125" i="1"/>
  <c r="O130" i="1"/>
  <c r="W130" i="1"/>
  <c r="H3" i="14"/>
  <c r="G3" i="14"/>
  <c r="I3" i="14" s="1"/>
  <c r="W34" i="1"/>
  <c r="H37" i="1"/>
  <c r="O37" i="1" s="1"/>
  <c r="H38" i="1" s="1"/>
  <c r="O38" i="1" s="1"/>
  <c r="H39" i="1" s="1"/>
  <c r="O39" i="1" s="1"/>
  <c r="H40" i="1" s="1"/>
  <c r="O40" i="1" s="1"/>
  <c r="H41" i="1" s="1"/>
  <c r="O41" i="1" s="1"/>
  <c r="H42" i="1" s="1"/>
  <c r="O42" i="1" s="1"/>
  <c r="H43" i="1" s="1"/>
  <c r="O43" i="1" s="1"/>
  <c r="H44" i="1" s="1"/>
  <c r="O44" i="1" s="1"/>
  <c r="W38" i="1"/>
  <c r="W42" i="1"/>
  <c r="W46" i="1"/>
  <c r="W50" i="1"/>
  <c r="W54" i="1"/>
  <c r="W58" i="1"/>
  <c r="W62" i="1"/>
  <c r="W66" i="1"/>
  <c r="W70" i="1"/>
  <c r="W74" i="1"/>
  <c r="W78" i="1"/>
  <c r="W82" i="1"/>
  <c r="W86" i="1"/>
  <c r="W90" i="1"/>
  <c r="W94" i="1"/>
  <c r="W98" i="1"/>
  <c r="W102" i="1"/>
  <c r="W106" i="1"/>
  <c r="W110" i="1"/>
  <c r="W114" i="1"/>
  <c r="W118" i="1"/>
  <c r="W124" i="1"/>
  <c r="W134" i="1"/>
  <c r="W138" i="1"/>
  <c r="W142" i="1"/>
  <c r="W146" i="1"/>
  <c r="W150" i="1"/>
  <c r="W154" i="1"/>
  <c r="W161" i="1"/>
  <c r="W169" i="1"/>
  <c r="W177" i="1"/>
  <c r="W6" i="1"/>
  <c r="W13" i="1"/>
  <c r="G6" i="2"/>
  <c r="W17" i="1"/>
  <c r="H20" i="1"/>
  <c r="O20" i="1" s="1"/>
  <c r="H21" i="1" s="1"/>
  <c r="O21" i="1" s="1"/>
  <c r="H22" i="1" s="1"/>
  <c r="O22" i="1" s="1"/>
  <c r="H23" i="1" s="1"/>
  <c r="O23" i="1" s="1"/>
  <c r="H24" i="1" s="1"/>
  <c r="O24" i="1" s="1"/>
  <c r="H25" i="1" s="1"/>
  <c r="O25" i="1" s="1"/>
  <c r="W21" i="1"/>
  <c r="W25" i="1"/>
  <c r="H28" i="1"/>
  <c r="O28" i="1" s="1"/>
  <c r="H29" i="1" s="1"/>
  <c r="O29" i="1" s="1"/>
  <c r="H30" i="1" s="1"/>
  <c r="O30" i="1" s="1"/>
  <c r="H31" i="1" s="1"/>
  <c r="O31" i="1" s="1"/>
  <c r="H32" i="1" s="1"/>
  <c r="O32" i="1" s="1"/>
  <c r="H33" i="1" s="1"/>
  <c r="O33" i="1" s="1"/>
  <c r="H34" i="1" s="1"/>
  <c r="O34" i="1" s="1"/>
  <c r="H35" i="1" s="1"/>
  <c r="O35" i="1" s="1"/>
  <c r="W29" i="1"/>
  <c r="W33" i="1"/>
  <c r="W37" i="1"/>
  <c r="W41" i="1"/>
  <c r="W45" i="1"/>
  <c r="W49" i="1"/>
  <c r="W53" i="1"/>
  <c r="W57" i="1"/>
  <c r="W61" i="1"/>
  <c r="W65" i="1"/>
  <c r="W69" i="1"/>
  <c r="W73" i="1"/>
  <c r="W77" i="1"/>
  <c r="W81" i="1"/>
  <c r="W85" i="1"/>
  <c r="W89" i="1"/>
  <c r="W93" i="1"/>
  <c r="W97" i="1"/>
  <c r="W101" i="1"/>
  <c r="W105" i="1"/>
  <c r="W109" i="1"/>
  <c r="W113" i="1"/>
  <c r="W117" i="1"/>
  <c r="W121" i="1"/>
  <c r="O126" i="1"/>
  <c r="W126" i="1"/>
  <c r="W129" i="1"/>
  <c r="F13" i="4"/>
  <c r="F15" i="4"/>
  <c r="F19" i="4"/>
  <c r="G19" i="4" s="1"/>
  <c r="F21" i="4"/>
  <c r="F23" i="4"/>
  <c r="C13" i="4"/>
  <c r="G13" i="4"/>
  <c r="C15" i="4"/>
  <c r="G15" i="4"/>
  <c r="C17" i="4"/>
  <c r="C19" i="4"/>
  <c r="C21" i="4"/>
  <c r="G21" i="4"/>
  <c r="C23" i="4"/>
  <c r="G23" i="4"/>
  <c r="J6" i="2" l="1"/>
  <c r="F16" i="4"/>
  <c r="G16" i="4" s="1"/>
  <c r="J4" i="2"/>
  <c r="F14" i="4"/>
  <c r="G14" i="4" s="1"/>
  <c r="J8" i="2"/>
  <c r="F18" i="4"/>
  <c r="G18" i="4" s="1"/>
  <c r="J7" i="2"/>
  <c r="F17" i="4"/>
  <c r="G17" i="4" s="1"/>
  <c r="B25" i="4" s="1"/>
  <c r="J15" i="2" l="1"/>
  <c r="F8" i="4"/>
</calcChain>
</file>

<file path=xl/sharedStrings.xml><?xml version="1.0" encoding="utf-8"?>
<sst xmlns="http://schemas.openxmlformats.org/spreadsheetml/2006/main" count="1024" uniqueCount="451">
  <si>
    <t>APURAÇÃO CONSOLIDADA — BANCO DE HORAS  |  Dados corrigidos com critérios aprovados  |  Provida Centro Médico</t>
  </si>
  <si>
    <t>#</t>
  </si>
  <si>
    <t>COLABORADOR</t>
  </si>
  <si>
    <t>SETOR</t>
  </si>
  <si>
    <t>COMPETÊNCIA</t>
  </si>
  <si>
    <t>PERÍODO</t>
  </si>
  <si>
    <t>CARGA (h/dia)</t>
  </si>
  <si>
    <t>TRAB. SÁB?</t>
  </si>
  <si>
    <t>SALDO ANT. (h:mm)</t>
  </si>
  <si>
    <t>HRS EXTRAS (h:mm)</t>
  </si>
  <si>
    <t>FALTAS/ATRASOS (h:mm)</t>
  </si>
  <si>
    <t>AJUSTE MANUAL (h:mm)</t>
  </si>
  <si>
    <t>SALDO MÊS (h:mm)</t>
  </si>
  <si>
    <t>SALDO ACUM. (+)</t>
  </si>
  <si>
    <t>SALDO ACUM. (-)</t>
  </si>
  <si>
    <t>SALDO LÍQUIDO (h:mm)</t>
  </si>
  <si>
    <t>FONTE</t>
  </si>
  <si>
    <t>CRITÉRIO</t>
  </si>
  <si>
    <t>OBSERVAÇÕES / CORREÇÕES APLICADAS</t>
  </si>
  <si>
    <t>_CHAVE</t>
  </si>
  <si>
    <t>Coluna2</t>
  </si>
  <si>
    <t>Coluna3</t>
  </si>
  <si>
    <t>Coluna1</t>
  </si>
  <si>
    <t>Coluna4</t>
  </si>
  <si>
    <t>ORIGEM DADOS</t>
  </si>
  <si>
    <t>CONFIABILIDADE OCR (%)</t>
  </si>
  <si>
    <t>ID_APURACAO_AUTOMATICA</t>
  </si>
  <si>
    <t>Amanda Curcino dos Santos</t>
  </si>
  <si>
    <t>2026-03</t>
  </si>
  <si>
    <t>00:00</t>
  </si>
  <si>
    <t>Amanda_p1</t>
  </si>
  <si>
    <t>🟡 Zero aplicado</t>
  </si>
  <si>
    <t>Dado original zerado: folha começa em 01/04; dias 16-31/03 em branco. Considerado saldo zero. Admissão a confirmar com RH.</t>
  </si>
  <si>
    <t>Emanuelly Ribeiro de Aguiar</t>
  </si>
  <si>
    <t>2025-07</t>
  </si>
  <si>
    <t>Emanuelly_p8,p9</t>
  </si>
  <si>
    <t>🟡 Ilegível → zero</t>
  </si>
  <si>
    <t>Folha sem totais no rodapé. Critério: dado ilegível → zero aplicado.</t>
  </si>
  <si>
    <t>2025-08</t>
  </si>
  <si>
    <t>07:32</t>
  </si>
  <si>
    <t>Emanuelly_p6</t>
  </si>
  <si>
    <t>✅ Rodapé lido</t>
  </si>
  <si>
    <t>Rodapé circulado '-7h32'. Saldo anterior zerado (critério). FA=07:32 conforme rodapé.</t>
  </si>
  <si>
    <t>2025-09</t>
  </si>
  <si>
    <t>16:30</t>
  </si>
  <si>
    <t>Emanuelly_p5,p7</t>
  </si>
  <si>
    <t>🔶 Duplicata → maior</t>
  </si>
  <si>
    <t>Folha duplicada: +01:04 vs +16:30. CRITÉRIO USUÁRIO: valor maior → +16:30 aplicado.</t>
  </si>
  <si>
    <t>2025-10</t>
  </si>
  <si>
    <t>Emanuelly_p4</t>
  </si>
  <si>
    <t>Folha sem total no rodapé. Critério: dado ilegível → zero aplicado.</t>
  </si>
  <si>
    <t>2025-11</t>
  </si>
  <si>
    <t>18:04</t>
  </si>
  <si>
    <t>13:14</t>
  </si>
  <si>
    <t>Emanuelly_p3</t>
  </si>
  <si>
    <t>✅ OK</t>
  </si>
  <si>
    <t>Dados do rodapé validados (status OK). HE=18:04 FA=13:14 Saldo=+04:50.</t>
  </si>
  <si>
    <t>2025-12</t>
  </si>
  <si>
    <t>Emanuelly_p2</t>
  </si>
  <si>
    <t>Rodapé ilegível: positivas 2h23, negativas 16h(?), saldo '2h7m' — não fecha. Critério: dado ilegível → zero. Férias 24/12-14/01/2026 (não gera débito).</t>
  </si>
  <si>
    <t>2026-01</t>
  </si>
  <si>
    <t>Emanuelly_p14</t>
  </si>
  <si>
    <t>Folha sem totais. Mudança jornada 5h→8h a partir desta competência. Zero aplicado.</t>
  </si>
  <si>
    <t>2026-02</t>
  </si>
  <si>
    <t>Emanuelly_p1</t>
  </si>
  <si>
    <t>Folha sem totais. Zero aplicado.</t>
  </si>
  <si>
    <t>Emanuelly_p13</t>
  </si>
  <si>
    <t>2026-04</t>
  </si>
  <si>
    <t>Emanuelly_p12</t>
  </si>
  <si>
    <t>Geovana Rodrigues Oliveira</t>
  </si>
  <si>
    <t>24:30</t>
  </si>
  <si>
    <t>Geovana_p2</t>
  </si>
  <si>
    <t>Rodapé circulado '+24h30m'. Saldo anterior zerado (critério). HE=24:30.</t>
  </si>
  <si>
    <t>09:50</t>
  </si>
  <si>
    <t>Geovana_p1</t>
  </si>
  <si>
    <t>Rodapé '+9h50m'. Divergência cabeçalho 'sem sábado' vs batidas em sábados: rodapé prevalece. HE=09:50.</t>
  </si>
  <si>
    <t>2026-04/05</t>
  </si>
  <si>
    <t>Geovana_p3,p4,p5,p6</t>
  </si>
  <si>
    <t>⚪ Folha faltando</t>
  </si>
  <si>
    <t>FOLHA DE PONTO NÃO ENVIADA. Atestados anexos: 20/04 (1d CID K04), 21/04 (5d CID L03.2), 29/04 (5d CID Z540/K09), 06/05 (consulta). Zero aplicado. Pendência crítica.</t>
  </si>
  <si>
    <t>Laisi Silva Ferreira</t>
  </si>
  <si>
    <t>13:20</t>
  </si>
  <si>
    <t>Laisi_p10,p11</t>
  </si>
  <si>
    <t>Folha rotulada 'Maio/Junho' mas período real é jul/ago (16/07-15/08). Rodapé '+13h20'. HE=13:20.</t>
  </si>
  <si>
    <t>03:57</t>
  </si>
  <si>
    <t>Laisi_p8,p12</t>
  </si>
  <si>
    <t>Rodapé '+3h57' (legibilidade baixa). FA ilegível → zero (critério). HE=03:57.</t>
  </si>
  <si>
    <t>04:48</t>
  </si>
  <si>
    <t>Laisi_p6,p13</t>
  </si>
  <si>
    <t>Folha duplicada: +4h48m vs +04m. CRITÉRIO USUÁRIO: valor maior → +04:48 aplicado.</t>
  </si>
  <si>
    <t>Laisi_p5</t>
  </si>
  <si>
    <t>Rodapé parcialmente preenchido e ilegível. Critério: dado ilegível → zero.</t>
  </si>
  <si>
    <t>09:06</t>
  </si>
  <si>
    <t>05:00</t>
  </si>
  <si>
    <t>Laisi_p4</t>
  </si>
  <si>
    <t>🟠 Calculado retroativo</t>
  </si>
  <si>
    <t>Rodapé: neg=-5h, saldo=+4h6m (legível). HE calculado retroativamente: saldo+FA=09:06. Positivas originais ilegíveis.</t>
  </si>
  <si>
    <t>01:47</t>
  </si>
  <si>
    <t>00:40</t>
  </si>
  <si>
    <t>Laisi_p3</t>
  </si>
  <si>
    <t>Dados OK. Rodapé: +1h47m, -40m, saldo +58m.</t>
  </si>
  <si>
    <t>Laisi_p14</t>
  </si>
  <si>
    <t>Folha sem totais no rodapé. Zero aplicado.</t>
  </si>
  <si>
    <t>Laisi_p15</t>
  </si>
  <si>
    <t>16/02 a 22/02 sem batidas (possível férias não registradas). Sem totais. Zero aplicado.</t>
  </si>
  <si>
    <t>Laisi_p1,p2</t>
  </si>
  <si>
    <t>Atestado 23/03 (3d, CID H10). Dias 16/03, 24/03, 25/03 em branco. Sem totais. Zero aplicado.</t>
  </si>
  <si>
    <t>Lizandra Ferreira Alves</t>
  </si>
  <si>
    <t>Lizandra_p12</t>
  </si>
  <si>
    <t>Sem totais. Atestado 05/08 (2d CID A90), folga 04/08. Zero aplicado.</t>
  </si>
  <si>
    <t>37:25</t>
  </si>
  <si>
    <t>Lizandra_p13,p14</t>
  </si>
  <si>
    <t>Rodapé '+37h25m'. Saldo anterior zerado (critério). HE=37:25.</t>
  </si>
  <si>
    <t>22:35</t>
  </si>
  <si>
    <t>Lizandra_p9,p15</t>
  </si>
  <si>
    <t>Folha duplicada: +22:35 vs saldo -02m. CRITÉRIO USUÁRIO: valor maior → +22:35 aplicado.</t>
  </si>
  <si>
    <t>01:21</t>
  </si>
  <si>
    <t>Lizandra_p10</t>
  </si>
  <si>
    <t>Rodapé positivas '+1h21'. FA ilegível → zero. HE=01:21. Jornada nova 13:00-18:00 no cabeçalho — divergência registrada.</t>
  </si>
  <si>
    <t>08:00</t>
  </si>
  <si>
    <t>Lizandra_p11</t>
  </si>
  <si>
    <t>Rodapé: neg=-8h. 20/11 só manhã (07:02-12:02), 21/11 ausência. FA=08:00.</t>
  </si>
  <si>
    <t>00:07</t>
  </si>
  <si>
    <t>00:20</t>
  </si>
  <si>
    <t>Lizandra_p8</t>
  </si>
  <si>
    <t>Rodapé: pos=7m, neg=20m, saldo=-13m. Férias 29/12-14/01/2026 (não gera débito). HE=00:07 FA=00:20.</t>
  </si>
  <si>
    <t>Lizandra_p6</t>
  </si>
  <si>
    <t>16/01-18/01 em branco (férias até 14/01). Sem totais. Zero aplicado.</t>
  </si>
  <si>
    <t>Lizandra_p4</t>
  </si>
  <si>
    <t>Falta 16/02 anotada. 06/03 só batida manhã. Declaração comparecimento 13/03 (falta parcial justificada). Sem totais. Zero aplicado.</t>
  </si>
  <si>
    <t>Lizandra_p16</t>
  </si>
  <si>
    <t>Folga 30/03, feriado 03/04, declaração comparecimento 10/04. Sem totais. Zero aplicado.</t>
  </si>
  <si>
    <t>Lizandra_p1,p2,p3</t>
  </si>
  <si>
    <t>Feriados 21/04 e 01/05. Declarações 16/04 e 17/04. 11/05 só batida entrada (07:17). Sem totais. Zero aplicado.</t>
  </si>
  <si>
    <t>Matheus Silva de Sousa</t>
  </si>
  <si>
    <t>04:40</t>
  </si>
  <si>
    <t>Matheus_p11,p13</t>
  </si>
  <si>
    <t>Admissão 28/07/2025. Dias 16-27/07 excluídos. Rodapé '-4h40'. Saldo anterior zerado. FA=04:40.</t>
  </si>
  <si>
    <t>35:00</t>
  </si>
  <si>
    <t>Matheus_p8,p9,p10,p12</t>
  </si>
  <si>
    <t>Viagem 15-23/08 (8 dias úteis sem batidas). Rodapé '-35h'. FA=35:00. Declarações escolares tratadas como falta parcial justificada (já incluídas no rodapé). Viagem: validar classificação com RH.</t>
  </si>
  <si>
    <t>10:00</t>
  </si>
  <si>
    <t>Matheus_p7,p11</t>
  </si>
  <si>
    <t>Folha duplicada: +5h vs +10h. CRITÉRIO USUÁRIO: valor maior → +10:00 aplicado.</t>
  </si>
  <si>
    <t>06:00</t>
  </si>
  <si>
    <t>Matheus_p6</t>
  </si>
  <si>
    <t>Rodapé: +6h, -5h, saldo +1h. Baixa legibilidade mas valores consistentes. HE=06:00 FA=05:00.</t>
  </si>
  <si>
    <t>15:00</t>
  </si>
  <si>
    <t>Matheus_p5</t>
  </si>
  <si>
    <t>Rodapé: +15h, -15h, saldo aparente=0. Valores consistentes entre si. HE=15:00 FA=15:00.</t>
  </si>
  <si>
    <t>04:06</t>
  </si>
  <si>
    <t>03:50</t>
  </si>
  <si>
    <t>Matheus_p4</t>
  </si>
  <si>
    <t>Rodapé: pos=4h6m, neg=3h50m, saldo '10' ilegível. Saldo calculado: HE-FA = +00:16. Feriados 25/12 e 01/01 (saldo zero nesses dias).</t>
  </si>
  <si>
    <t>Matheus_p3</t>
  </si>
  <si>
    <t>Dias 16-25/01 em branco. Folha começa em 26/01. Sem totais. Zero aplicado.</t>
  </si>
  <si>
    <t>Matheus_p2</t>
  </si>
  <si>
    <t>Várias quintas-feiras em branco. Sem totais. Zero aplicado.</t>
  </si>
  <si>
    <t>Matheus_p1</t>
  </si>
  <si>
    <t>17/03 em branco. Sem totais. Zero aplicado.</t>
  </si>
  <si>
    <t>AJUSTE MANUAL: Para inserir um ajuste, edite a coluna K (AJUSTE MANUAL) na linha da competência desejada. O saldo encadeado NÃO é atualizado automaticamente — use a aba Criterios_Aplicados para registrar o ajuste.</t>
  </si>
  <si>
    <t>RESUMO DO BANCO DE HORAS  |  Saldo acumulado final por colaborador  |  Provida Centro Médico</t>
  </si>
  <si>
    <t>CARGA ATUAL (h/dia)</t>
  </si>
  <si>
    <t>1ª COMPETÊNCIA</t>
  </si>
  <si>
    <t>ÚLTIMA COMPETÊNCIA</t>
  </si>
  <si>
    <t>TOTAL COMPETÊNCIAS</t>
  </si>
  <si>
    <t>ZEROS APLICADOS</t>
  </si>
  <si>
    <t>SALDO_ACUMULADO (+)</t>
  </si>
  <si>
    <t>SALDO ACUMULADO (-)</t>
  </si>
  <si>
    <t>SALDO LÍQUIDO FINAL</t>
  </si>
  <si>
    <t>Marinete Soares Rodrigues</t>
  </si>
  <si>
    <t>Kayo Folha Alves</t>
  </si>
  <si>
    <t>Adailton Folha Filho</t>
  </si>
  <si>
    <t>Luana Oliveira</t>
  </si>
  <si>
    <t>Pedro Henrique</t>
  </si>
  <si>
    <t>Maria</t>
  </si>
  <si>
    <t>TOTAIS CONSOLIDADOS →</t>
  </si>
  <si>
    <t>⚠️  ATENÇÃO: Saldos calculados com os critérios aprovados (duplicatas=maior; ilegíveis=zero; saldo anterior=zero). 21 competências com zero aplicado por dado ausente/ilegível. Esses valores devem ser revisados quando o RH obtiver os documentos originais.</t>
  </si>
  <si>
    <t>CADASTRO DE COLABORADORES  |  Provida Centro Médico</t>
  </si>
  <si>
    <t>NOME COMPLETO</t>
  </si>
  <si>
    <t>FUNÇÃO</t>
  </si>
  <si>
    <t>DATA ADMISSÃO</t>
  </si>
  <si>
    <t>JORNADA ATUAL (h/dia)</t>
  </si>
  <si>
    <t>TRABALHA SÁB?</t>
  </si>
  <si>
    <t>JORNADA SÁB (h)</t>
  </si>
  <si>
    <t>MATRÍCULA</t>
  </si>
  <si>
    <t>SALDO INICIAL</t>
  </si>
  <si>
    <t>OBSERVAÇÕES</t>
  </si>
  <si>
    <t>ENTRADA PADRÃO</t>
  </si>
  <si>
    <t>SAÍDA PADRÃO</t>
  </si>
  <si>
    <t>INTERVALO ALMOÇO (min)</t>
  </si>
  <si>
    <t>ATIVO</t>
  </si>
  <si>
    <t>DATA DESLIGAMENTO</t>
  </si>
  <si>
    <t xml:space="preserve">Call Center </t>
  </si>
  <si>
    <t>Estagiária Call Center</t>
  </si>
  <si>
    <t>01/04/2026 (CONFIRMAR)</t>
  </si>
  <si>
    <t>Não</t>
  </si>
  <si>
    <t>(RH)</t>
  </si>
  <si>
    <t>Início aparente 01/04/2026. Admissão e matrícula pendentes.</t>
  </si>
  <si>
    <t>17:00</t>
  </si>
  <si>
    <t>Sim</t>
  </si>
  <si>
    <t>Call Center</t>
  </si>
  <si>
    <t>09/05/2025</t>
  </si>
  <si>
    <t>Jornada atual 8h (mudança em jan/2026). Matrícula pendente.</t>
  </si>
  <si>
    <t xml:space="preserve">Estagiária Call Center </t>
  </si>
  <si>
    <t>03/08/2024</t>
  </si>
  <si>
    <t>Trabalhou sáb até out/2025. Folhas nov/25-mai/26 faltando. Matrícula pendente.</t>
  </si>
  <si>
    <t>01/07/2025 (CONFIRMAR)</t>
  </si>
  <si>
    <t>Admissão a confirmar. Matrícula pendente.</t>
  </si>
  <si>
    <t>07/02/2025 (CONFIRMAR)</t>
  </si>
  <si>
    <t>Múltiplas datas de admissão nas folhas. Confirmar data correta. Matrícula pendente.</t>
  </si>
  <si>
    <t>Estagiário Call Center</t>
  </si>
  <si>
    <t>28/07/2025</t>
  </si>
  <si>
    <t>Menor de idade. CEM 03 Gama. Matrícula pendente.</t>
  </si>
  <si>
    <t>Limpeza</t>
  </si>
  <si>
    <t>Auxiliar de Serviços Gerais</t>
  </si>
  <si>
    <t>Portaria</t>
  </si>
  <si>
    <t>Porteiro</t>
  </si>
  <si>
    <t>Jornada sábado a confirmar (4h ou 5h)</t>
  </si>
  <si>
    <t>TI</t>
  </si>
  <si>
    <t>Auxiliar de TI</t>
  </si>
  <si>
    <t>📌  Células em AMARELO (MATRÍCULA) devem ser preenchidas pelo RH antes do primeiro fechamento oficial. Saldo inicial = zero por critério aprovado. Admissões marcadas como CONFIRMAR precisam de validação.</t>
  </si>
  <si>
    <t>📊  DASHBOARD — BANCO DE HORAS  |  Provida Centro Médico</t>
  </si>
  <si>
    <t>Data: 13/05/2026  |  Critérios: Duplicata=Maior | Ilegível=Zero | Saldo Ant.=Zero</t>
  </si>
  <si>
    <t>STATUS CONSOLIDADO POR COLABORADOR</t>
  </si>
  <si>
    <t>COMPETÊNCIAS</t>
  </si>
  <si>
    <t>DADOS OK</t>
  </si>
  <si>
    <t>ZEROS</t>
  </si>
  <si>
    <t>SALDO LÍQUIDO</t>
  </si>
  <si>
    <t>SITUAÇÃO</t>
  </si>
  <si>
    <t>GUIA DE USO  |  Banco de Horas Consolidado  |  Provida Centro Médico</t>
  </si>
  <si>
    <t>LEGENDA DE CRITÉRIOS APLICADOS</t>
  </si>
  <si>
    <t>✅ OK / Rodapé lido</t>
  </si>
  <si>
    <t>Dado lido diretamente do rodapé original da folha de ponto. Confiável para uso imediato.</t>
  </si>
  <si>
    <t>🔶 Duplicata → maior valor</t>
  </si>
  <si>
    <t>Havia duas versões da mesma folha. CRITÉRIO DO USUÁRIO: foi adotado o valor maior (mais favorável ao colaborador). Registrado em Criterios_Aplicados.</t>
  </si>
  <si>
    <t>Positivas originais ilegíveis mas negativas e saldo legíveis. HE foi calculado como: Saldo + FA. Resultado internamente consistente.</t>
  </si>
  <si>
    <t>Rodapé ausente, ilegível ou internamente inconsistente. CRITÉRIO DO USUÁRIO: zero aplicado. Deve ser revisado quando o RH obtiver o documento original.</t>
  </si>
  <si>
    <t>Dados insuficientes (admissão incerta, período anterior ao contrato). Zero aplicado.</t>
  </si>
  <si>
    <t>Folha de ponto não foi enviada ao RH. Zero aplicado. PENDÊNCIA CRÍTICA.</t>
  </si>
  <si>
    <t>SALDO ANTERIOR</t>
  </si>
  <si>
    <t>Como foi calculado?</t>
  </si>
  <si>
    <t>CRITÉRIO DO USUÁRIO: saldo anterior = zero para todos os colaboradores. O saldo da primeira competência disponível parte do zero. O saldo acumulado é o resultado encadeado das competências disponíveis.</t>
  </si>
  <si>
    <t>Quando revisar?</t>
  </si>
  <si>
    <t>Quando o RH obtiver o saldo de banco anterior ao primeiro registro disponível, deve-se atualizar a coluna SALDO ANT. da primeira linha de cada colaborador em Apuracao_Consolidada e o encadeamento se propagará naturalmente.</t>
  </si>
  <si>
    <t>DUPLICATAS</t>
  </si>
  <si>
    <t>Quais foram resolvidas?</t>
  </si>
  <si>
    <t>Emanuelly set/out-2025: +01:04 vs +16:30 → aplicado +16:30. Laisi set/out-2025: +4h48m vs +04m → aplicado +04:48. Matheus set/out-2025: +5h vs +10h → aplicado +10:00. Lizandra set/out-2025: +22:35 vs saldo-2m → aplicado +22:35.</t>
  </si>
  <si>
    <t>Por que o maior?</t>
  </si>
  <si>
    <t>Critério definido pelo usuário. Representa a posição mais favorável ao colaborador. Todas as decisões estão documentadas na aba Criterios_Aplicados para eventual contestação ou revisão futura.</t>
  </si>
  <si>
    <t>CASOS ESPECIAIS</t>
  </si>
  <si>
    <t>Amanda — mar/2026</t>
  </si>
  <si>
    <t>Folha começa em 01/04. Dias 16-31/03 em branco. Considerado zero. Admissão a confirmar. Caso o contrato confirme 01/04, esta competência não gera saldo.</t>
  </si>
  <si>
    <t>Geovana — abr/mai 2026</t>
  </si>
  <si>
    <t>Folha de ponto NÃO enviada. Há 4 atestados anexos mas sem folha correspondente. Zero aplicado. Solicitar folha urgente.</t>
  </si>
  <si>
    <t>Matheus — jul/2025</t>
  </si>
  <si>
    <t>Admissão 28/07/2025. Dias 16-27/07 excluídos do cálculo (pré-admissão). FA=-4h40 refere-se apenas ao período 28/07-15/08.</t>
  </si>
  <si>
    <t>Matheus — ago/2025</t>
  </si>
  <si>
    <t>Viagem 15-23/08 (8 dias úteis sem batidas). Rodapé '-35h' adotado. Classificação da viagem (férias? licença? falta?) não foi informada ao RH — deve ser validada.</t>
  </si>
  <si>
    <t>Emanuelly — dez/2025</t>
  </si>
  <si>
    <t>Rodapé ilegível. Zero aplicado. Férias 24/12-14/01/2026 não geram débito (já registradas nas observações).</t>
  </si>
  <si>
    <t>Laisi — nov/2025</t>
  </si>
  <si>
    <t>Positivas ilegíveis. FA=-5h e saldo=+4h06m legíveis. HE calculado retroativamente: saldo+FA = 09:06. Método calculado retroativo.</t>
  </si>
  <si>
    <t>COMO ATUALIZAR MÊS A MÊS</t>
  </si>
  <si>
    <t>1. Nova competência</t>
  </si>
  <si>
    <t>Adicione uma nova linha na tabela de Apuracao_Consolidada com colaborador, competência, período, HE, FA e ajuste. O saldo anterior deve ser igual ao saldo acumulado da competência anterior do mesmo colaborador.</t>
  </si>
  <si>
    <t>2. Ajuste manual</t>
  </si>
  <si>
    <t>Edite a coluna AJUSTE MANUAL na linha da competência. Registre a alteração na aba Criterios_Aplicados com o motivo.</t>
  </si>
  <si>
    <t>3. Novo colaborador</t>
  </si>
  <si>
    <t>Adicione linha no Cadastro e depois insira as competências em Apuracao_Consolidada. Saldo inicial = informar pelo RH.</t>
  </si>
  <si>
    <t>🕐  BANCO DE HORAS — PROVIDA CENTRO MÉDICO  |  Base Consolidada e Corrigida</t>
  </si>
  <si>
    <t>Versão corrigida gerada em 13/05/2026  |  Critérios aprovados pelo usuário</t>
  </si>
  <si>
    <t>ABA</t>
  </si>
  <si>
    <t>QUEM USA</t>
  </si>
  <si>
    <t>📋 Apuracao_Consolidada</t>
  </si>
  <si>
    <t>Central: todos os dados corrigidos com saldo encadeado por colaborador</t>
  </si>
  <si>
    <t>RH / Gestão</t>
  </si>
  <si>
    <t>📊 Resumo_Banco</t>
  </si>
  <si>
    <t>Saldo acumulado final por colaborador — visão executiva</t>
  </si>
  <si>
    <t>Gestão / Direção</t>
  </si>
  <si>
    <t>🎨 Dashboard</t>
  </si>
  <si>
    <t>KPIs visuais, gráficos e alertas</t>
  </si>
  <si>
    <t>🔍 Criterios_Aplicados</t>
  </si>
  <si>
    <t>Registro de cada decisão tomada na correção dos dados</t>
  </si>
  <si>
    <t>RH / Auditoria</t>
  </si>
  <si>
    <t>📋 Cadastro</t>
  </si>
  <si>
    <t>Dados cadastrais dos 6 colaboradores</t>
  </si>
  <si>
    <t>❓ Ajuda</t>
  </si>
  <si>
    <t>Legenda de critérios, instruções e FAQ</t>
  </si>
  <si>
    <t>Todos</t>
  </si>
  <si>
    <t>CRITÉRIOS APROVADOS PELO USUÁRIO  ►  Duplicatas: valor MAIOR aplicado  |  Saldo anterior: ZERO para todos  |  Dados ilegíveis/ausentes: ZERO + sinalização</t>
  </si>
  <si>
    <t>🟡 Amarelo = dado ilegível/ausente → zero aplicado  |  🔵 Azul = saldo anterior zerado (critério)  |  🟠 Laranja = duplicata → maior valor  |  🟢 Verde = dado OK do rodapé  |  ⚪ Cinza = folha faltando</t>
  </si>
  <si>
    <t>🏥  PAINEL DE CONTROLE  —  BANCO DE HORAS  |  PROVIDA CENTRO MÉDICO</t>
  </si>
  <si>
    <t>Sistema integrado de gestão de folhas de ponto com OCR  •  Fase 1 — Calculadora Manual</t>
  </si>
  <si>
    <t>▸  INDICADORES DE STATUS</t>
  </si>
  <si>
    <t>⏳ BATIDAS PENDENTES DE REVISÃO</t>
  </si>
  <si>
    <t>📋 APURAÇÕES PENDENTES</t>
  </si>
  <si>
    <t>✅ APROVADAS P/ CONSOLIDAR</t>
  </si>
  <si>
    <t>Última importação:</t>
  </si>
  <si>
    <t>▸  AÇÕES RÁPIDAS  (execute as macros pelo menu Desenvolvedor → Macros)</t>
  </si>
  <si>
    <t>📄  IMPORTAR FOLHA DE PONTO</t>
  </si>
  <si>
    <t>Chama: ImportarFolhaPonto()</t>
  </si>
  <si>
    <t>🧮  CALCULAR APURAÇÃO MENSAL</t>
  </si>
  <si>
    <t>Chama: CalcularApuracaoMensal()</t>
  </si>
  <si>
    <t>⚠️  REVISAR BATIDAS BAIXA CONFIANÇA</t>
  </si>
  <si>
    <t>Chama: RevisarBatidasBaixaConfianca()</t>
  </si>
  <si>
    <t>✅  ENVIAR PARA CONSOLIDAÇÃO</t>
  </si>
  <si>
    <t>Chama: EnviarParaConsolidacao()</t>
  </si>
  <si>
    <t>📊  VER LOG DE IMPORTAÇÕES</t>
  </si>
  <si>
    <t>Navega para aba ControleOCR</t>
  </si>
  <si>
    <t>📈  VER DASHBOARD</t>
  </si>
  <si>
    <t>Navega para aba Dashboard</t>
  </si>
  <si>
    <t>▸  FLUXO DE TRABALHO RECOMENDADO</t>
  </si>
  <si>
    <t>1️⃣</t>
  </si>
  <si>
    <t>Cadastrar colaboradores na aba 'Cadastro' (se ainda não cadastrados)</t>
  </si>
  <si>
    <t>2️⃣</t>
  </si>
  <si>
    <t>Digitar os horários diários na aba 'BatidasOCR'  (ou importar PDF quando o OCR estiver ativo)</t>
  </si>
  <si>
    <t>3️⃣</t>
  </si>
  <si>
    <t>Verificar as diferenças calculadas automaticamente na coluna L de BatidasOCR</t>
  </si>
  <si>
    <t>4️⃣</t>
  </si>
  <si>
    <t>Executar 'Calcular Apuração Mensal'  →  registra consolidação em ApuracaoAutomatica</t>
  </si>
  <si>
    <t>5️⃣</t>
  </si>
  <si>
    <t>Revisar a apuração gerada, ajustar observações e alterar Status para 'Aprovado'</t>
  </si>
  <si>
    <t>6️⃣</t>
  </si>
  <si>
    <t>Executar 'Enviar para Consolidação'  →  move dados aprovados para Apuracao_Consolidada</t>
  </si>
  <si>
    <t>7️⃣</t>
  </si>
  <si>
    <t>Consultar o Dashboard para visão executiva do banco de horas</t>
  </si>
  <si>
    <t>Sistema Banco de Horas v2.0 — Provida Centro Médico  |  Fase 1 concluída em 18/05/2026  |  Próxima fase: integração OCR</t>
  </si>
  <si>
    <t>CÓDIGO VBA — COLE NO EDITOR VBA DO EXCEL  (Alt+F11 → Inserir → Módulo → Cole o código abaixo)</t>
  </si>
  <si>
    <t>INSTRUÇÕES: 1) Pressione Alt+F11  2) Clique em Inserir → Módulo  3) Copie TODO o conteúdo da célula B3 e cole no módulo  4) Feche o editor</t>
  </si>
  <si>
    <t>Código VBA Completo:</t>
  </si>
  <si>
    <t xml:space="preserve">Attribute VB_Name = "ModProvida"
Option Explicit
'=============================================================================
'  PROVIDA CENTRO MÉDICO — SISTEMA DE BANCO DE HORAS
'  Módulo Principal VBA — Fase 1
'  Versão: 2.0  |  Data: 18/05/2026
'=============================================================================
' ──────────────────────────────────────────────────────────────────────────
'  CONSTANTES GLOBAIS
' ──────────────────────────────────────────────────────────────────────────
Const ABA_BATIDAS         As String = "BatidasOCR"
Const ABA_APURACAO_AUTO   As String = "ApuracaoAutomatica"
Const ABA_CONTROLE        As String = "ControleOCR"
Const ABA_CONSOLIDADA     As String = "Apuracao_Consolidada"
Const ABA_CRITERIOS       As String = "Criterios_Aplicados"
Const ABA_CADASTRO        As String = "Cadastro"
Const ABA_PAINEL          As String = "PainelControle"
' ──────────────────────────────────────────────────────────────────────────
'  UTILITÁRIOS
' ──────────────────────────────────────────────────────────────────────────
' Retorna a próxima linha vazia em uma aba/coluna
Private Function ProximaLinhaVazia(ws As Worksheet, col As Long) As Long
    Dim lastRow As Long
    lastRow = ws.Cells(ws.Rows.Count, col).End(xlUp).Row
    If lastRow &lt; 2 Then
        ProximaLinhaVazia = 3
    Else
        ProximaLinhaVazia = lastRow + 1
    End If
End Function
' Formata número decimal de horas para string HH:MM
Private Function HorasParaTexto(horas As Double) As String
    If IsNull(horas) Or IsEmpty(horas) Then
        HorasParaTexto = "00:00"
        Exit Function
    End If
    Dim totalMinutos As Long
    Dim sinal As String
    sinal = ""
    If horas &lt; 0 Then
        sinal = "-"
        horas = Abs(horas)
    End If
    totalMinutos = CLng(horas * 24 * 60)
    HorasParaTexto = sinal &amp; Format(totalMinutos \ 60, "00") &amp; ":" &amp; _
                     Format(totalMinutos Mod 60, "00")
End Function
' Converte string HH:MM para decimal de dias (como Excel armazena)
Private Function TextoParaHoras(texto As String) As Double
    On Error GoTo Erro
    Dim partes() As String
    partes = Split(Replace(texto, ".", ":"), ":")
    If UBound(partes) &gt;= 1 Then
        TextoParaHoras = (CLng(partes(0)) * 60 + CLng(partes(1))) / 1440
    Else
        TextoParaHoras = 0
    End If
    Exit Function
Erro:
    TextoParaHoras = 0
End Function
' Obtém a jornada esperada de um colaborador a partir do Cadastro
Private Function ObterJornadaColaborador(nomeColab As String) As Double
    Dim wsCad As Worksheet
    Dim ultimaLinha As Long, i As Long
    Set wsCad = ThisWorkbook.Sheets(ABA_CADASTRO)
    ultimaLinha = wsCad.Cells(wsCad.Rows.Count, 2).End(xlUp).Row
    For i = 3 To ultimaLinha
        If wsCad.Cells(i, 2).Value = nomeColab Then
            ObterJornadaColaborador = CDbl(wsCad.Cells(i, 6).Value) / 24
            Exit Function
        End If
    Next i
    ObterJornadaColaborador = 8 / 24  ' padrão 8h
End Function
' Verifica se colaborador existe no Cadastro
Private Function ColaboradorExiste(nome As String) As Boolean
    Dim wsCad As Worksheet
    Dim cel As Range
    Set wsCad = ThisWorkbook.Sheets(ABA_CADASTRO)
    Set cel = wsCad.Columns(2).Find(nome, LookIn:=xlValues, LookAt:=xlWhole)
    ColaboradorExiste = Not (cel Is Nothing)
End Function
' ──────────────────────────────────────────────────────────────────────────
'  MACRO 1: ImportarFolhaPonto
'  Abre diálogo de arquivo, solicita colaborador e competência,
'  registra a importação no ControleOCR (OCR ainda simulado na Fase 1)
' ──────────────────────────────────────────────────────────────────────────
Sub ImportarFolhaPonto()
    On Error GoTo TratarErro
    Dim fd As FileDialog
    Dim caminhoArquivo As String
    Dim nomeArquivo    As String
    Dim colaborador    As String
    Dim competencia    As String
    Dim wsCtrl         As Worksheet
    Dim proxLinha      As Long
    ' 1. Selecionar arquivo
    Set fd = Application.FileDialog(msoFileDialogFilePicker)
    fd.Title = "Selecionar Folha de Ponto (PDF, JPG ou PNG)"
    fd.Filters.Clear
    fd.Filters.Add "Documentos de Ponto", "*.pdf;*.jpg;*.jpeg;*.png;*.bmp;*.tif"
    fd.Filters.Add "Todos os Arquivos", "*.*"
    fd.AllowMultiSelect = False
    If fd.Show = False Then
        MsgBox "Importação cancelada pelo usuário.", vbInformation, "Provida — Banco de Horas"
        Exit Sub
    End If
    caminhoArquivo = fd.SelectedItems(1)
    nomeArquivo = Mid(caminhoArquivo, InStrRev(caminhoArquivo, "\") + 1)
    ' 2. Solicitar Colaborador
    colaborador = InputBox("Digite o nome completo do colaborador:" &amp; vbCrLf &amp; _
                           "(conforme cadastro no sistema)", _
                           "Importar Folha de Ponto — Colaborador")
    If colaborador = "" Then
        MsgBox "Nome do colaborador não informado. Importação cancelada.", vbExclamation, "Provida"
        Exit Sub
    End If
    If Not ColaboradorExiste(colaborador) Then
        If MsgBox("Colaborador '" &amp; colaborador &amp; "' não encontrado no Cadastro." &amp; vbCrLf &amp; _
                  "Deseja continuar mesmo assim?", vbYesNo + vbQuestion, "Provida") = vbNo Then
            Exit Sub
        End If
    End If
    ' 3. Solicitar Competência
    competencia = InputBox("Digite a competência (formato AAAA-MM):" &amp; vbCrLf &amp; _
                           "Exemplo: 2026-04", _
                           "Importar Folha de Ponto — Competência")
    If competencia = "" Then
        MsgBox "Competência não informada. Importação cancelada.", vbExclamation, "Provida"
        Exit Sub
    End If
    If Not competencia Like "####-##" Then
        MsgBox "Formato de competência inválido. Use AAAA-MM (ex: 2026-04).", vbExclamation, "Provida"
        Exit Sub
    End If
    ' 4. Registrar no ControleOCR
    Set wsCtrl = ThisWorkbook.Sheets(ABA_CONTROLE)
    proxLinha = ProximaLinhaVazia(wsCtrl, 1)
    wsCtrl.Cells(proxLinha, 1).Value = proxLinha - 2  ' ID autoincr
    wsCtrl.Cells(proxLinha, 2).Value = Now()
    wsCtrl.Cells(proxLinha, 2).NumberFormat = "DD/MM/AAAA HH:MM:SS"
    wsCtrl.Cells(proxLinha, 3).Value = nomeArquivo
    wsCtrl.Cells(proxLinha, 4).Value = colaborador
    wsCtrl.Cells(proxLinha, 5).Value = competencia
    wsCtrl.Cells(proxLinha, 6).Value = 0  ' linhas importadas (OCR futuro)
    wsCtrl.Cells(proxLinha, 7).Value = 0  ' confiança média
    wsCtrl.Cells(proxLinha, 8).Value = "Pendente OCR"
    wsCtrl.Cells(proxLinha, 9).Value = "Fase 1: OCR não ativo. Dados devem ser digitados em BatidasOCR."
    wsCtrl.Cells(proxLinha, 10).Value = Application.UserName
    ' 5. Navegar para BatidasOCR e filtrar pelo colaborador/competência
    MsgBox "✅ Arquivo registrado com sucesso!" &amp; vbCrLf &amp; vbCrLf &amp; _
           "Arquivo:     " &amp; nomeArquivo &amp; vbCrLf &amp; _
           "Colaborador: " &amp; colaborador &amp; vbCrLf &amp; _
           "Competência: " &amp; competencia &amp; vbCrLf &amp; vbCrLf &amp; _
           "⚠️  Na Fase 1, o OCR ainda não está ativo." &amp; vbCrLf &amp; _
           "Por favor, digite os horários diários na aba 'BatidasOCR'" &amp; vbCrLf &amp; _
           "informando o Colaborador '" &amp; colaborador &amp; "' e a Competência '" &amp; competencia &amp; "'.", _
           vbInformation, "Provida — Importar Folha de Ponto"
    ' Navegar para BatidasOCR
    ThisWorkbook.Sheets(ABA_BATIDAS).Activate
    ThisWorkbook.Sheets(ABA_BATIDAS).Cells(ProximaLinhaVazia(ThisWorkbook.Sheets(ABA_BATIDAS), 1), 2).Select
    Exit Sub
TratarErro:
    MsgBox "Erro ao importar folha de ponto." &amp; vbCrLf &amp; _
           "Código: " &amp; Err.Number &amp; vbCrLf &amp; Err.Description, _
           vbCritical, "Provida — Erro"
End Sub
' ──────────────────────────────────────────────────────────────────────────
'  MACRO 2: CalcularApuracaoMensal
'  Agrega BatidasOCR de um Colaborador+Competência e grava em ApuracaoAutomatica
' ──────────────────────────────────────────────────────────────────────────
Sub CalcularApuracaoMensal()
    On Error GoTo TratarErro
    Dim colaborador   As String
    Dim competencia   As String
    Dim wsBat         As Worksheet
    Dim wsAA          As Worksheet
    Dim ultimaLinha   As Long
    Dim proxLinha     As Long
    Dim i             As Long
    Dim horasExtras   As Double
    Dim faltasAtrasos As Double
    Dim saldoMes      As Double
    Dim diasComBatida As Long
    Dim diasSemBatida As Long
    Dim diasUteis     As Long
    Dim somaConfianca As Double
    Dim contConfianca As Long
    Dim criterio      As String
    Dim msgResumo     As String
    ' 1. Entrada
    colaborador = InputBox("Nome completo do colaborador:", "Calcular Apuração Mensal")
    If colaborador = "" Then Exit Sub
    competencia = InputBox("Competência (AAAA-MM):", "Calcular Apuração Mensal")
    If competencia = "" Then Exit Sub
    If Not competencia Like "####-##" Then
        MsgBox "Competência inválida. Use AAAA-MM.", vbExclamation, "Provida"
        Exit Sub
    End If
    ' 2. Verificar duplicata
    Set wsAA = ThisWorkbook.Sheets(ABA_APURACAO_AUTO)
    ultimaLinha = wsAA.Cells(wsAA.Rows.Count, 2).End(xlUp).Row
    For i = 3 To ultimaLinha
        If wsAA.Cells(i, 2).Value = colaborador And wsAA.Cells(i, 3).Value = competencia Then
            If MsgBox("Já existe uma apuração para " &amp; colaborador &amp; " / " &amp; competencia &amp; "." &amp; vbCrLf &amp; _
                      "Deseja recalcular e sobrescrever?", vbYesNo + vbQuestion, "Provida") = vbNo Then
                Exit Sub
            Else
                wsAA.Rows(i).Delete
                ultimaLinha = ultimaLinha - 1
                Exit For
            End If
        End If
    Next i
    ' 3. Agregar BatidasOCR
    Set wsBat = ThisWorkbook.Sheets(ABA_BATIDAS)
    ultimaLinha = wsBat.Cells(wsBat.Rows.Count, 2).End(xlUp).Row
    If ultimaLinha &lt; 3 Then
        MsgBox "Nenhuma batida encontrada na aba " &amp; ABA_BATIDAS &amp; ".", vbExclamation, "Provida"
        Exit Sub
    End If
    horasExtras   = 0
    faltasAtrasos = 0
    diasComBatida = 0
    diasSemBatida = 0
    somaConfianca = 0
    contConfianca = 0
    For i = 3 To ultimaLinha
        If wsBat.Cells(i, 2).Value = colaborador And wsBat.Cells(i, 3).Value = competencia Then
            ' Coluna L = DiferencaDia (índice 12)
            Dim difDia As Variant
            difDia = wsBat.Cells(i, 12).Value
            ' Colunas F a I: horários (índices 6-9)
            Dim temBatida As Boolean
            temBatida = (wsBat.Cells(i, 6).Value &lt;&gt; "" And Not IsEmpty(wsBat.Cells(i, 6).Value))
            If temBatida Then
                diasComBatida = diasComBatida + 1
                If Not IsEmpty(difDia) And difDia &lt;&gt; "" Then
                    If CDbl(difDia) &gt; 0 Then
                        horasExtras = horasExtras + CDbl(difDia)
                    ElseIf CDbl(difDia) &lt; 0 Then
                        faltasAtrasos = faltasAtrasos + Abs(CDbl(difDia))
                    End If
                End If
            Else
                ' Dia útil sem batida (não Domingo/Feriado/Folga)
                Dim tipoDia As String
                tipoDia = wsBat.Cells(i, 13).Value
                If tipoDia = "Útil" Or tipoDia = "Sábado" Or tipoDia = "" Then
                    diasSemBatida = diasSemBatida + 1
                End If
            End If
            ' Confiança OCR (coluna O = índice 15)
            Dim conf As Variant
            conf = wsBat.Cells(i, 15).Value
            If Not IsEmpty(conf) And conf &lt;&gt; "" And IsNumeric(conf) Then
                somaConfianca = somaConfianca + CDbl(conf)
                contConfianca = contConfianca + 1
            End If
        End If
    Next i
    diasUteis = diasComBatida + diasSemBatida
    saldoMes = horasExtras - faltasAtrasos
    If diasComBatida = 0 Then
        MsgBox "Nenhuma batida encontrada para " &amp; colaborador &amp; " na competência " &amp; competencia &amp; "." &amp; vbCrLf &amp; _
               "Por favor, insira os dados na aba BatidasOCR antes de calcular.", _
               vbExclamation, "Provida"
        Exit Sub
    End If
    ' 4. Gerar critério automático
    criterio = "Cálculo automático Fase 1 — " &amp; diasComBatida &amp; " dias com batida"
    If diasSemBatida &gt; 0 Then criterio = criterio &amp; ", " &amp; diasSemBatida &amp; " dias sem batida"
    If horasExtras &gt; 0 Then criterio = criterio &amp; " | HE=" &amp; HorasParaTexto(horasExtras)
    If faltasAtrasos &gt; 0 Then criterio = criterio &amp; " | FA=" &amp; HorasParaTexto(faltasAtrasos)
    criterio = criterio &amp; " | Saldo=" &amp; HorasParaTexto(saldoMes)
    ' 5. Gravar em ApuracaoAutomatica
    proxLinha = ProximaLinhaVazia(wsAA, 1)
    Dim mediaConf As Double
    If contConfianca &gt; 0 Then mediaConf = somaConfianca / contConfianca Else mediaConf = 0
    wsAA.Cells(proxLinha, 1).Value = proxLinha - 2
    wsAA.Cells(proxLinha, 2).Value = colaborador
    wsAA.Cells(proxLinha, 3).Value = competencia
    wsAA.Cells(proxLinha, 4).Value = diasUteis
    wsAA.Cells(proxLinha, 5).Value = diasComBatida
    wsAA.Cells(proxLinha, 6).Value = diasSemBatida
    wsAA.Cells(proxLinha, 7).Value = horasExtras
    wsAA.Cells(proxLinha, 7).NumberFormat = "[h]:MM"
    wsAA.Cells(proxLinha, 8).Value = faltasAtrasos
    wsAA.Cells(proxLinha, 8).NumberFormat = "[h]:MM"
    wsAA.Cells(proxLinha, 9).Value = saldoMes
    wsAA.Cells(proxLinha, 9).NumberFormat = "[h]:MM"
    wsAA.Cells(proxLinha, 10).Value = criterio
    wsAA.Cells(proxLinha, 11).Value = mediaConf / 100
    wsAA.Cells(proxLinha, 11).NumberFormat = "0.0%"
    wsAA.Cells(proxLinha, 12).Value = "Pendente"
    wsAA.Cells(proxLinha, 13).Value = Now()
    wsAA.Cells(proxLinha, 13).NumberFormat = "DD/MM/AAAA HH:MM"
    ' 6. Exibir resumo
    msgResumo = "✅ Apuração calculada com sucesso!" &amp; vbCrLf &amp; vbCrLf &amp; _
                "Colaborador:   " &amp; colaborador &amp; vbCrLf &amp; _
                "Competência:   " &amp; competencia &amp; vbCrLf &amp; vbCrLf &amp; _
                "Dias c/ batida:  " &amp; diasComBatida &amp; vbCrLf &amp; _
                "Dias s/ batida:  " &amp; diasSemBatida &amp; vbCrLf &amp; _
                "Horas Extras:    " &amp; HorasParaTexto(horasExtras) &amp; vbCrLf &amp; _
                "Faltas/Atrasos:  " &amp; HorasParaTexto(faltasAtrasos) &amp; vbCrLf &amp; _
                "Saldo do Mês:    " &amp; HorasParaTexto(saldoMes) &amp; vbCrLf &amp; vbCrLf &amp; _
                "📋 Acesse a aba 'ApuracaoAutomatica', revise e altere o" &amp; vbCrLf &amp; _
                "   Status para 'Aprovado' antes de enviar para consolidação."
    MsgBox msgResumo, vbInformation, "Provida — Apuração Calculada"
    ' Navegar para ApuracaoAutomatica
    wsAA.Activate
    wsAA.Cells(proxLinha, 1).Select
    Exit Sub
TratarErro:
    MsgBox "Erro ao calcular apuração." &amp; vbCrLf &amp; _
           "Código: " &amp; Err.Number &amp; vbCrLf &amp; Err.Description, _
           vbCritical, "Provida — Erro"
End Sub
' ──────────────────────────────────────────────────────────────────────────
'  MACRO 3: EnviarParaConsolidacao
'  Envia ApuracaoAutomatica com status "Aprovado" para Apuracao_Consolidada
' ──────────────────────────────────────────────────────────────────────────
Sub EnviarParaConsolidacao()
    On Error GoTo TratarErro
    Dim wsAA   As Worksheet
    Dim wsAC   As Worksheet
    Dim wsCrit As Worksheet
    Dim i      As Long
    Dim proxAC As Long
    Dim contEnviados As Long
    Dim ultimaAA As Long
    Set wsAA   = ThisWorkbook.Sheets(ABA_APURACAO_AUTO)
    Set wsAC   = ThisWorkbook.Sheets(ABA_CONSOLIDADA)
    ' CriteriosAplicados pode ter nome diferente
    On Error Resume Next
    Set wsCrit = ThisWorkbook.Sheets(ABA_CRITERIOS)
    On Error GoTo TratarErro
    ultimaAA = wsAA.Cells(wsAA.Rows.Count, 2).End(xlUp).Row
    contEnviados = 0
    ' Confirmar operação
    Dim qtdAprovadas As Long
    qtdAprovadas = 0
    For i = 3 To ultimaAA
        If wsAA.Cells(i, 12).Value = "Aprovado" Then qtdAprovadas = qtdAprovadas + 1
    Next i
    If qtdAprovadas = 0 Then
        MsgBox "Nenhuma apuração com status 'Aprovado' encontrada." &amp; vbCrLf &amp; _
               "Por favor, revise as apurações em ApuracaoAutomatica e altere o Status para 'Aprovado'.", _
               vbExclamation, "Provida"
        Exit Sub
    End If
    If MsgBox("Serão enviadas " &amp; qtdAprovadas &amp; " apuração(ões) para a Apuração Consolidada." &amp; vbCrLf &amp; _
              "Esta operação não pode ser desfeita." &amp; vbCrLf &amp; vbCrLf &amp; _
              "Deseja continuar?", vbYesNo + vbQuestion, "Provida — Confirmar Consolidação") = vbNo Then
        Exit Sub
    End If
    ' Backup antes de consolidar
    Dim nomeBackup As String
    nomeBackup = "Backup_antes_consolidacao_" &amp; Format(Now, "YYYYMMDD_HHMMSS")
    ' (em produção: ThisWorkbook.SaveCopyAs ...)
    For i = 3 To ultimaAA
        If wsAA.Cells(i, 12).Value = "Aprovado" Then
            Dim colaborador As String
            Dim competencia As String
            Dim horasExtras As Double
            Dim faltasAtrasos As Double
            Dim saldoMes As Double
            Dim criterio As String
            colaborador   = wsAA.Cells(i, 2).Value
            competencia   = wsAA.Cells(i, 3).Value
            horasExtras   = CDbl(wsAA.Cells(i, 7).Value)
            faltasAtrasos = CDbl(wsAA.Cells(i, 8).Value)
            saldoMes      = CDbl(wsAA.Cells(i, 9).Value)
            criterio      = wsAA.Cells(i, 10).Value
            ' Verificar duplicata na Consolidada
            Dim jaExiste As Boolean
            jaExiste = False
            Dim jj As Long
            Dim ultAC As Long
            ultAC = wsAC.Cells(wsAC.Rows.Count, 2).End(xlUp).Row
            For jj = 3 To ultAC
                If wsAC.Cells(jj, 2).Value = colaborador And wsAC.Cells(jj, 4).Value = competencia Then
                    jaExiste = True
                    Exit For
                End If
            Next jj
            If jaExiste Then
                wsAA.Cells(i, 14).Value = "DUPLICATA — já existe em Apuracao_Consolidada. Não reenviado."
            Else
                ' Calcular saldo anterior (último saldo do mesmo colaborador)
                Dim saldoAnt As Double
                saldoAnt = 0
                Dim kk As Long
                For kk = ultAC To 3 Step -1
                    If wsAC.Cells(kk, 2).Value = colaborador Then
                        saldoAnt = CDbl(wsAC.Cells(kk, 15).Value)  ' col 15 = SALDO LÍQUIDO
                        Exit For
                    End If
                Next kk
                Dim saldoAcumPos As Double
                Dim saldoAcumNeg As Double
                Dim saldoLiquido As Double
                saldoLiquido = saldoAnt + saldoMes
                If saldoLiquido &gt;= 0 Then
                    saldoAcumPos = saldoLiquido
                    saldoAcumNeg = 0
                Else
                    saldoAcumPos = 0
                    saldoAcumNeg = Abs(saldoLiquido)
                End If
                proxAC = ProximaLinhaVazia(wsAC, 2)
                wsAC.Cells(proxAC, 1).Value = proxAC - 2       ' #
                wsAC.Cells(proxAC, 2).Value = colaborador
                wsAC.Cells(proxAC, 3).Value = "Call Center"
                wsAC.Cells(proxAC, 4).Value = competencia
                wsAC.Cells(proxAC, 5).Value = competencia
                ' Carga h/dia e Trab.Sáb? do cadastro
                wsAC.Cells(proxAC, 6).Value = ObterJornadaColaborador(colaborador) * 24
                wsAC.Cells(proxAC, 7).Value = "Não"
                wsAC.Cells(proxAC, 8).Value = saldoAnt
                wsAC.Cells(proxAC, 8).NumberFormat = "[h]:MM"
                wsAC.Cells(proxAC, 9).Value = horasExtras
                wsAC.Cells(proxAC, 9).NumberFormat = "[h]:MM"
                wsAC.Cells(proxAC, 10).Value = faltasAtrasos
                wsAC.Cells(proxAC, 10).NumberFormat = "[h]:MM"
                wsAC.Cells(proxAC, 11).Value = 0   ' ajuste manual
                wsAC.Cells(proxAC, 12).Value = saldoMes
                wsAC.Cells(proxAC, 12).NumberFormat = "[h]:MM"
                wsAC.Cells(proxAC, 13).Value = saldoAcumPos
                wsAC.Cells(proxAC, 13).NumberFormat = "[h]:MM"
                wsAC.Cells(proxAC, 14).Value = saldoAcumNeg
                wsAC.Cells(proxAC, 14).NumberFormat = "[h]:MM"
                wsAC.Cells(proxAC, 15).Value = saldoLiquido
                wsAC.Cells(proxAC, 15).NumberFormat = "[h]:MM"
                wsAC.Cells(proxAC, 16).Value = "OCR Automático"
                wsAC.Cells(proxAC, 17).Value = criterio
                wsAC.Cells(proxAC, 18).Value = "Enviado via macro EnviarParaConsolidacao em " &amp; Format(Now, "DD/MM/YYYY HH:MM")
                wsAC.Cells(proxAC, 19).Value = colaborador &amp; competencia  ' _CHAVE
                ' Colunas novas: OrigemDados, ConfiabilidadeOCR, ID_ApuracaoAutomatica
                Dim acLastOrig As Long
                acLastOrig = wsAC.UsedRange.Columns.Count
                ' Estas colunas foram adicionadas como as últimas 3 na modificação anterior
                wsAC.Cells(proxAC, acLastOrig - 2).Value = "OCR Automático"
                wsAC.Cells(proxAC, acLastOrig - 1).Value = wsAA.Cells(i, 11).Value
                wsAC.Cells(proxAC, acLastOrig).Value = wsAA.Cells(i, 1).Value
                ' Registrar em CriteriosAplicados se existir
                If Not wsCrit Is Nothing Then
                    Dim proxCrit As Long
                    proxCrit = ProximaLinhaVazia(wsCrit, 1)
                    wsCrit.Cells(proxCrit, 1).Value = proxCrit - 1
                    wsCrit.Cells(proxCrit, 2).Value = colaborador
                    wsCrit.Cells(proxCrit, 3).Value = competencia
                    wsCrit.Cells(proxCrit, 4).Value = criterio
                    wsCrit.Cells(proxCrit, 5).Value = "OCR Automático"
                    wsCrit.Cells(proxCrit, 6).Value = HorasParaTexto(horasExtras)
                    wsCrit.Cells(proxCrit, 7).Value = HorasParaTexto(faltasAtrasos)
                    wsCrit.Cells(proxCrit, 8).Value = HorasParaTexto(saldoMes)
                    wsCrit.Cells(proxCrit, 9).Value = Format(Now, "DD/MM/YYYY HH:MM")
                    wsCrit.Cells(proxCrit, 10).Value = Application.UserName
                End If
                ' Marcar como enviado
                wsAA.Cells(i, 12).Value = "Enviado"
                wsAA.Cells(i, 14).Value = "Enviado para Apuracao_Consolidada em " &amp; Format(Now, "DD/MM/YYYY HH:MM")
                contEnviados = contEnviados + 1
            End If
        End If
    Next i
    MsgBox "✅ Consolidação concluída!" &amp; vbCrLf &amp; vbCrLf &amp; _
           contEnviados &amp; " apuração(ões) enviada(s) para Apuracao_Consolidada.", _
           vbInformation, "Provida — Consolidação"
    wsAC.Activate
    Exit Sub
TratarErro:
    MsgBox "Erro ao consolidar." &amp; vbCrLf &amp; _
           "Código: " &amp; Err.Number &amp; vbCrLf &amp; Err.Description, _
           vbCritical, "Provida — Erro"
End Sub
' ──────────────────────────────────────────────────────────────────────────
'  MACRO 4: RevisarBatidasBaixaConfianca
'  Filtra batidas com confiança &lt; 70% e abre formulário de revisão inline
' ──────────────────────────────────────────────────────────────────────────
Sub RevisarBatidasBaixaConfianca()
    On Error GoTo TratarErro
    Dim wsBat As Worksheet
    Dim i     As Long
    Dim ultima As Long
    Dim contBaixa As Long
    Dim linhas()  As Long
    ReDim linhas(1 To 1)
    Set wsBat = ThisWorkbook.Sheets(ABA_BATIDAS)
    ultima = wsBat.Cells(wsBat.Rows.Count, 2).End(xlUp).Row
    contBaixa = 0
    ' Contar e coletar linhas com confiança &lt; 70%
    For i = 3 To ultima
        Dim conf As Variant
        conf = wsBat.Cells(i, 15).Value
        If Not IsEmpty(conf) And conf &lt;&gt; "" And IsNumeric(conf) Then
            If CDbl(conf) &lt; 70 Then
                contBaixa = contBaixa + 1
                ReDim Preserve linhas(1 To contBaixa)
                linhas(contBaixa) = i
            End If
        End If
    Next i
    If contBaixa = 0 Then
        MsgBox "✅ Nenhuma batida com confiança abaixo de 70% encontrada.", _
               vbInformation, "Provida — Revisão"
        Exit Sub
    End If
    ' Mostrar resumo e navegar para a primeira
    Dim resp As String
    resp = MsgBox("⚠️  " &amp; contBaixa &amp; " batida(s) com confiança &lt; 70% encontrada(s)." &amp; vbCrLf &amp; vbCrLf &amp; _
                  "O sistema irá destacar essas linhas." &amp; vbCrLf &amp; _
                  "Revise os horários e altere o Status OCR para 'Revisado' ou 'Validado'." &amp; vbCrLf &amp; vbCrLf &amp; _
                  "Deseja ir para a primeira batida pendente?", _
                  vbYesNo + vbQuestion, "Provida — Revisão Necessária")
    If resp = vbYes Then
        wsBat.Activate
        ' Aplicar AutoFiltro na coluna O (Confiança)
        If wsBat.AutoFilterMode Then wsBat.AutoFilterMode = False
        wsBat.Range("A2:R2").AutoFilter
        ' Filtrar: Status OCR = Extraído ou Revisado (colunas N=14 e O=15)
        wsBat.Range("A2").AutoFilter Field:=14, Criteria1:=Array("Extraído", "Revisado"), Operator:=xlFilterValues
        wsBat.Cells(linhas(1), 1).Select
        MsgBox "Filtro aplicado. Linhas visíveis = batidas com Status 'Extraído' ou 'Revisado'." &amp; vbCrLf &amp; _
               "Para remover o filtro: clique em Dados → Limpar.", _
               vbInformation, "Provida"
    End If
    Exit Sub
TratarErro:
    MsgBox "Erro ao revisar batidas." &amp; vbCrLf &amp; _
           "Código: " &amp; Err.Number &amp; vbCrLf &amp; Err.Description, _
           vbCritical, "Provida — Erro"
End Sub
' ──────────────────────────────────────────────────────────────────────────
'  MACRO 5: ValidarBatida
'  Chamada ao sair de uma linha de BatidasOCR para validar horários
' ──────────────────────────────────────────────────────────────────────────
Sub ValidarBatidaAtual()
    On Error GoTo Sair
    Dim wsBat  As Worksheet
    Dim linAtiva As Long
    Set wsBat = ThisWorkbook.Sheets(ABA_BATIDAS)
    linAtiva = ActiveCell.Row
    If linAtiva &lt; 3 Then Exit Sub
    If ActiveSheet.Name &lt;&gt; ABA_BATIDAS Then Exit Sub
    ' Ler horários
    Dim eM As Variant, sA As Variant, vA As Variant, sT As Variant
    eM = wsBat.Cells(linAtiva, 6).Value
    sA = wsBat.Cells(linAtiva, 7).Value
    vA = wsBat.Cells(linAtiva, 8).Value
    sT = wsBat.Cells(linAtiva, 9).Value
    ' Validar apenas se pelo menos um campo preenchido
    If IsEmpty(eM) And IsEmpty(sA) And IsEmpty(vA) And IsEmpty(sT) Then Exit Sub
    Dim erros As String
    erros = ""
    ' Verificar sequência de horários
    If Not IsEmpty(eM) And Not IsEmpty(sA) Then
        If CDbl(sA) &lt;= CDbl(eM) Then
            erros = erros &amp; "⚠️  Saída Almoço deve ser DEPOIS da Entrada Manhã." &amp; vbCrLf
        End If
    End If
    If Not IsEmpty(sA) And Not IsEmpty(vA) Then
        If CDbl(vA) &lt;= CDbl(sA) Then
            erros = erros &amp; "⚠️  Volta Almoço deve ser DEPOIS da Saída Almoço." &amp; vbCrLf
        End If
    End If
    If Not IsEmpty(vA) And Not IsEmpty(sT) Then
        If CDbl(sT) &lt;= CDbl(vA) Then
            erros = erros &amp; "⚠️  Saída Tarde deve ser DEPOIS da Volta Almoço." &amp; vbCrLf
        End If
    End If
    ' Verificar diferença excessiva (&gt; 4h ou &lt; -4h)
    Dim difDia As Variant
    difDia = wsBat.Cells(linAtiva, 12).Value
    If Not IsEmpty(difDia) And difDia &lt;&gt; "" Then
        If Abs(CDbl(difDia)) &gt; 4 / 24 Then
            erros = erros &amp; "ℹ️  Diferença de " &amp; HorasParaTexto(Abs(CDbl(difDia))) &amp; _
                    " detectada (&gt; 4h). Por favor, adicione uma observação." &amp; vbCrLf
        End If
    End If
    If erros &lt;&gt; "" Then
        MsgBox "Linha " &amp; linAtiva &amp; " — Atenção:" &amp; vbCrLf &amp; vbCrLf &amp; erros, _
               vbExclamation, "Provida — Validação de Batida"
        ' Destacar células com problema
        wsBat.Rows(linAtiva).Interior.Color = RGB(255, 235, 156)
    End If
Sair:
End Sub
' ──────────────────────────────────────────────────────────────────────────
'  MACRO 6: InserirLinhasBatidasOCR
'  Insere template de linhas para um colaborador/competência inteiros
'  (todos os dias do mês)
' ──────────────────────────────────────────────────────────────────────────
Sub InserirLinhasBatidasOCR()
    On Error GoTo TratarErro
    Dim colaborador As String
    Dim competencia As String
    Dim wsBat As Worksheet
    Dim proxLinha As Long
    Dim anoMes() As String
    Dim ano As Integer, mes As Integer
    Dim dtInicio As Date, dtFim As Date
    Dim dt As Date
    Dim diasSemana(1 To 7) As String
    diasSemana(1) = "Domingo"
    diasSemana(2) = "Segunda-Feira"
    diasSemana(3) = "Terça-Feira"
    diasSemana(4) = "Quarta-Feira"
    diasSemana(5) = "Quinta-Feira"
    diasSemana(6) = "Sexta-Feira"
    diasSemana(7) = "Sábado"
    ' Entrada
    colaborador = InputBox("Nome completo do colaborador:", "Inserir Linhas — BatidasOCR")
    If colaborador = "" Then Exit Sub
    competencia = InputBox("Competência (AAAA-MM):", "Inserir Linhas — BatidasOCR")
    If competencia = "" Then Exit Sub
    If Not competencia Like "####-##" Then
        MsgBox "Formato inválido. Use AAAA-MM.", vbExclamation
        Exit Sub
    End If
    anoMes = Split(competencia, "-")
    ano = CInt(anoMes(0))
    mes = CInt(anoMes(1))
    ' Período: dia 16 do mês anterior até dia 15 do mês corrente (padrão folha Provida)
    dtInicio = DateSerial(ano, mes - 1, 16)
    dtFim    = DateSerial(ano, mes, 15)
    ' Verificar se já existem linhas
    Set wsBat = ThisWorkbook.Sheets(ABA_BATIDAS)
    Dim ultima As Long
    ultima = wsBat.Cells(wsBat.Rows.Count, 2).End(xlUp).Row
    Dim jatem As Long
    jatem = 0
    Dim jj As Long
    For jj = 3 To ultima
        If wsBat.Cells(jj, 2).Value = colaborador And wsBat.Cells(jj, 3).Value = competencia Then
            jatem = jatem + 1
        End If
    Next jj
    If jatem &gt; 0 Then
        If MsgBox("Já existem " &amp; jatem &amp; " linha(s) para " &amp; colaborador &amp; " / " &amp; competencia &amp; "." &amp; vbCrLf &amp; _
                  "Deseja inserir linhas adicionais mesmo assim?", _
                  vbYesNo + vbQuestion, "Provida") = vbNo Then Exit Sub
    End If
    ' Inserir uma linha por dia
    Dim contDias As Long
    contDias = 0
    proxLinha = ProximaLinhaVazia(wsBat, 1)
    For dt = dtInicio To dtFim
        Dim dSemana As Integer
        dSemana = Weekday(dt, vbSunday)  ' 1=Dom, 2=Seg, ..., 7=Sáb
        Dim tipoDia As String
        If dSemana = 1 Then
            tipoDia = "Domingo"
        ElseIf dSemana = 7 Then
            tipoDia = "Sábado"
        Else
            tipoDia = "Útil"
        End If
        wsBat.Cells(proxLinha, 1).Value = proxLinha - 2
        wsBat.Cells(proxLinha, 2).Value = colaborador
        wsBat.Cells(proxLinha, 3).Value = competencia
        wsBat.Cells(proxLinha, 4).Value = dt
        wsBat.Cells(proxLinha, 4).NumberFormat = "DD/MM/AAAA"
        wsBat.Cells(proxLinha, 5).Value = diasSemana(dSemana)
        wsBat.Cells(proxLinha, 13).Value = tipoDia  ' TipoDia
        wsBat.Cells(proxLinha, 14).Value = "Extraído"  ' StatusOCR inicial
        wsBat.Cells(proxLinha, 17).Value = Now()
        wsBat.Cells(proxLinha, 17).NumberFormat = "DD/MM/AAAA HH:MM"
        wsBat.Cells(proxLinha, 18).Value = Application.UserName
        ' Copiar fórmulas da linha 3 (modelo)
        wsBat.Cells(3, 10).Copy wsBat.Cells(proxLinha, 10)
        wsBat.Cells(3, 11).Copy wsBat.Cells(proxLinha, 11)
        wsBat.Cells(3, 12).Copy wsBat.Cells(proxLinha, 12)
        proxLinha = proxLinha + 1
        contDias = contDias + 1
    Next dt
    MsgBox "✅ " &amp; contDias &amp; " linhas inseridas em BatidasOCR para:" &amp; vbCrLf &amp; _
           "Colaborador: " &amp; colaborador &amp; vbCrLf &amp; _
           "Competência: " &amp; competencia &amp; vbCrLf &amp; vbCrLf &amp; _
           "Período: " &amp; Format(dtInicio, "DD/MM/AAAA") &amp; " a " &amp; Format(dtFim, "DD/MM/AAAA") &amp; vbCrLf &amp; vbCrLf &amp; _
           "Agora preencha os horários nas colunas Entrada Manhã, Saída Almoço," &amp; vbCrLf &amp; _
           "Volta Almoço e Saída Tarde para cada dia útil.", _
           vbInformation, "Provida — Linhas Inseridas"
    wsBat.Activate
    wsBat.Cells(proxLinha - contDias, 1).Select
    Exit Sub
TratarErro:
    MsgBox "Erro ao inserir linhas." &amp; vbCrLf &amp; _
           "Código: " &amp; Err.Number &amp; vbCrLf &amp; Err.Description, _
           vbCritical, "Provida — Erro"
End Sub
' ──────────────────────────────────────────────────────────────────────────
'  MACRO 7: ExibirResumoColaborador
'  Exibe resumo de saldos de um colaborador específico
' ──────────────────────────────────────────────────────────────────────────
Sub ExibirResumoColaborador()
    On Error GoTo TratarErro
    Dim colaborador As </t>
  </si>
  <si>
    <t>LISTA DE COLABORADORES (base para validação)</t>
  </si>
  <si>
    <t>⚠️ Não edite esta coluna manualmente. Os nomes são puxados automaticamente da TblCadastro.</t>
  </si>
  <si>
    <t>MACROS DISPONÍVEIS — BANCO DE HORAS PROVIDA</t>
  </si>
  <si>
    <t>MACRO</t>
  </si>
  <si>
    <t>DESCRIÇÃO</t>
  </si>
  <si>
    <t>COMO EXECUTAR</t>
  </si>
  <si>
    <t>ImportarFolhaPonto()</t>
  </si>
  <si>
    <t>Registra uma folha de ponto PDF/imagem no sistema (Fase 1: manual)</t>
  </si>
  <si>
    <t>Alt+F8 → ImportarFolhaPonto</t>
  </si>
  <si>
    <t>InserirLinhasBatidasOCR()</t>
  </si>
  <si>
    <t>Cria uma linha por dia do período em BatidasOCR para um colaborador/mês</t>
  </si>
  <si>
    <t>Alt+F8 → InserirLinhasBatidasOCR</t>
  </si>
  <si>
    <t>CalcularApuracaoMensal()</t>
  </si>
  <si>
    <t>Agrega BatidasOCR e gera apuração em ApuracaoAutomatica</t>
  </si>
  <si>
    <t>Alt+F8 → CalcularApuracaoMensal</t>
  </si>
  <si>
    <t>RevisarBatidasBaixaConfianca()</t>
  </si>
  <si>
    <t>Filtra batidas com confiança &lt; 70% para revisão</t>
  </si>
  <si>
    <t>Alt+F8 → RevisarBatidasBaixaConfianca</t>
  </si>
  <si>
    <t>EnviarParaConsolidacao()</t>
  </si>
  <si>
    <t>Envia apurações 'Aprovadas' para Apuracao_Consolidada com saldo encadeado</t>
  </si>
  <si>
    <t>Alt+F8 → EnviarParaConsolidacao</t>
  </si>
  <si>
    <t>ExibirResumoColaborador()</t>
  </si>
  <si>
    <t>Mostra resumo de saldos de um colaborador</t>
  </si>
  <si>
    <t>Alt+F8 → ExibirResumoColaborador</t>
  </si>
  <si>
    <t>ValidarBatidaAtual()</t>
  </si>
  <si>
    <t>Valida horários da linha ativa em BatidasOCR</t>
  </si>
  <si>
    <t>Alt+F8 → ValidarBatidaAtual</t>
  </si>
  <si>
    <t>REGISTRO DE CRITÉRIOS APLICADOS  |  Cada linha documenta a decisão tomada para cada competência corrigida</t>
  </si>
  <si>
    <t>CRITÉRIO APLICADO</t>
  </si>
  <si>
    <t>VALOR ORIGINAL NA BASE</t>
  </si>
  <si>
    <t>VALOR APLICADO (corrigido)</t>
  </si>
  <si>
    <t>IMPACTO NO SALDO MÊS</t>
  </si>
  <si>
    <t>JUSTIFICATIVA TÉCNICA</t>
  </si>
  <si>
    <t>Dados insuficientes / admissão pendente</t>
  </si>
  <si>
    <t>HE=00:00 / FA=00:00</t>
  </si>
  <si>
    <t>+00:00</t>
  </si>
  <si>
    <t>Rodapé ausente ou ilegível</t>
  </si>
  <si>
    <t>Valor lido do rodapé original</t>
  </si>
  <si>
    <t>HE=00:00 / FA=07:32</t>
  </si>
  <si>
    <t>-07:32</t>
  </si>
  <si>
    <t>Duas folhas com totais distintos</t>
  </si>
  <si>
    <t>HE=16:30 / FA=00:00</t>
  </si>
  <si>
    <t>+16:30</t>
  </si>
  <si>
    <t>Dado validado no rodapé</t>
  </si>
  <si>
    <t>HE=18:04 / FA=13:14</t>
  </si>
  <si>
    <t>+04:50</t>
  </si>
  <si>
    <t>HE=24:30 / FA=00:00</t>
  </si>
  <si>
    <t>+24:30</t>
  </si>
  <si>
    <t>HE=09:50 / FA=00:00</t>
  </si>
  <si>
    <t>+09:50</t>
  </si>
  <si>
    <t>Folha de ponto não enviada ao RH</t>
  </si>
  <si>
    <t>HE=13:20 / FA=00:00</t>
  </si>
  <si>
    <t>+13:20</t>
  </si>
  <si>
    <t>HE=03:57 / FA=00:00</t>
  </si>
  <si>
    <t>+03:57</t>
  </si>
  <si>
    <t>HE=04:48 / FA=00:00</t>
  </si>
  <si>
    <t>+04:48</t>
  </si>
  <si>
    <t>Parcial: saldo calculado via HE-FA</t>
  </si>
  <si>
    <t>HE=09:06 / FA=05:00</t>
  </si>
  <si>
    <t>+04:06</t>
  </si>
  <si>
    <t>HE=01:47 / FA=00:40</t>
  </si>
  <si>
    <t>+01:07</t>
  </si>
  <si>
    <t>HE=37:25 / FA=00:00</t>
  </si>
  <si>
    <t>+37:25</t>
  </si>
  <si>
    <t>HE=22:35 / FA=00:00</t>
  </si>
  <si>
    <t>+22:35</t>
  </si>
  <si>
    <t>HE=01:21 / FA=00:00</t>
  </si>
  <si>
    <t>+01:21</t>
  </si>
  <si>
    <t>HE=00:00 / FA=08:00</t>
  </si>
  <si>
    <t>-08:00</t>
  </si>
  <si>
    <t>HE=00:07 / FA=00:20</t>
  </si>
  <si>
    <t>-00:13</t>
  </si>
  <si>
    <t>HE=00:00 / FA=04:40</t>
  </si>
  <si>
    <t>-04:40</t>
  </si>
  <si>
    <t>HE=00:00 / FA=35:00</t>
  </si>
  <si>
    <t>-35:00</t>
  </si>
  <si>
    <t>HE=10:00 / FA=00:00</t>
  </si>
  <si>
    <t>+10:00</t>
  </si>
  <si>
    <t>HE=06:00 / FA=05:00</t>
  </si>
  <si>
    <t>+01:00</t>
  </si>
  <si>
    <t>HE=15:00 / FA=15:00</t>
  </si>
  <si>
    <t>HE=04:06 / FA=03:50</t>
  </si>
  <si>
    <t>+00:16</t>
  </si>
  <si>
    <t>BATIDAS OCR — PROVIDA CENTRO MÉDICO  |  Horários Extraídos das Folhas de Ponto</t>
  </si>
  <si>
    <t>ID_BATIDA</t>
  </si>
  <si>
    <t>DATA</t>
  </si>
  <si>
    <t>DIA DA SEMANA</t>
  </si>
  <si>
    <t>ENTRADA MANHÃ</t>
  </si>
  <si>
    <t>SAÍDA ALMOÇO</t>
  </si>
  <si>
    <t>VOLTA ALMOÇO</t>
  </si>
  <si>
    <t>SAÍDA TARDE</t>
  </si>
  <si>
    <t>HRS TRABALHADAS</t>
  </si>
  <si>
    <t>JORNADA ESPERADA</t>
  </si>
  <si>
    <t>DIFERENÇA DIA</t>
  </si>
  <si>
    <t>TIPO DIA</t>
  </si>
  <si>
    <t>STATUS OCR</t>
  </si>
  <si>
    <t>CONFIANÇA LEITURA (%)</t>
  </si>
  <si>
    <t>DATA IMPORTAÇÃO</t>
  </si>
  <si>
    <t>USUÁRIO IMPORTAÇÃO</t>
  </si>
  <si>
    <t>APURAÇÃO AUTOMÁTICA — CONSOLIDAÇÃO MENSAL  |  Dados vindos das Batidas OCR</t>
  </si>
  <si>
    <t>ID_APURAÇÃO</t>
  </si>
  <si>
    <t>TOTAL DIAS ÚTEIS</t>
  </si>
  <si>
    <t>DIAS C/ BATIDA</t>
  </si>
  <si>
    <t>DIAS S/ BATIDA</t>
  </si>
  <si>
    <t>HORAS EXTRAS</t>
  </si>
  <si>
    <t>FALTAS/ATRASOS</t>
  </si>
  <si>
    <t>SALDO MÊS</t>
  </si>
  <si>
    <t>CRITÉRIO APURAÇÃO</t>
  </si>
  <si>
    <t>STATUS REVISÃO</t>
  </si>
  <si>
    <t>DATA CÁLCULO</t>
  </si>
  <si>
    <t>CONTROLE DE IMPORTAÇÕES OCR — LOG COMPLETO  |  Provida Centro Médico</t>
  </si>
  <si>
    <t>ID_IMPORTAÇÃO</t>
  </si>
  <si>
    <t>DATA/HORA IMPORTAÇÃO</t>
  </si>
  <si>
    <t>NOME DO ARQUIVO</t>
  </si>
  <si>
    <t>LINHAS IMPORTADAS</t>
  </si>
  <si>
    <t>CONFIANÇA MÉDIA (%)</t>
  </si>
  <si>
    <t>STATUS PROCESSAMENTO</t>
  </si>
  <si>
    <t>MENSAGEM ERRO</t>
  </si>
  <si>
    <t>USUÁRIO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</si>
</sst>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h:mm"/>
    <numFmt numFmtId="165" formatCode="[h]:mm"/>
    <numFmt numFmtId="166" formatCode="m/d/yyyy"/>
    <numFmt numFmtId="167" formatCode="0.0%"/>
  </numFmts>
  <fonts count="46" x14ac:knownFonts="1">
    <font>
      <sz val="11"/>
      <color theme="1"/>
      <name val="Calibri"/>
      <family val="2"/>
      <charset val="1"/>
    </font>
    <font>
      <b/>
      <sz val="12"/>
      <color rgb="FFFFFFFF"/>
      <name val="Calibri"/>
      <charset val="1"/>
    </font>
    <font>
      <b/>
      <sz val="10"/>
      <color rgb="FFFFFFFF"/>
      <name val="Calibri"/>
      <charset val="1"/>
    </font>
    <font>
      <b/>
      <sz val="10"/>
      <color rgb="FFFFFFFF"/>
      <name val="Calibri"/>
      <family val="2"/>
      <charset val="1"/>
    </font>
    <font>
      <b/>
      <sz val="10"/>
      <color rgb="FFFFFFFF"/>
      <name val="Arial"/>
      <charset val="1"/>
    </font>
    <font>
      <sz val="9"/>
      <color rgb="FF1A1A2E"/>
      <name val="Calibri"/>
      <family val="2"/>
      <charset val="1"/>
    </font>
    <font>
      <sz val="9"/>
      <color theme="1"/>
      <name val="Calibri"/>
      <family val="2"/>
      <charset val="1"/>
    </font>
    <font>
      <sz val="9"/>
      <color rgb="FF1A1A2E"/>
      <name val="Calibri"/>
      <charset val="1"/>
    </font>
    <font>
      <b/>
      <sz val="9"/>
      <color rgb="FF7D4E00"/>
      <name val="Calibri"/>
      <charset val="1"/>
    </font>
    <font>
      <sz val="10"/>
      <color rgb="FF1A1A2E"/>
      <name val="Calibri"/>
      <charset val="1"/>
    </font>
    <font>
      <b/>
      <sz val="10"/>
      <color rgb="FF1A1A2E"/>
      <name val="Calibri"/>
      <charset val="1"/>
    </font>
    <font>
      <i/>
      <sz val="9"/>
      <color rgb="FF7D4E00"/>
      <name val="Calibri"/>
      <charset val="1"/>
    </font>
    <font>
      <sz val="10"/>
      <color rgb="FF1A1A2E"/>
      <name val="Calibri"/>
      <family val="2"/>
      <charset val="1"/>
    </font>
    <font>
      <b/>
      <sz val="16"/>
      <color rgb="FFFFFFFF"/>
      <name val="Calibri"/>
      <charset val="1"/>
    </font>
    <font>
      <b/>
      <sz val="10"/>
      <color rgb="FFE8A020"/>
      <name val="Calibri"/>
      <charset val="1"/>
    </font>
    <font>
      <b/>
      <sz val="11"/>
      <color theme="0"/>
      <name val="Calibri"/>
      <family val="2"/>
      <charset val="1"/>
    </font>
    <font>
      <b/>
      <sz val="11"/>
      <color rgb="FFFFFFFF"/>
      <name val="Calibri"/>
      <charset val="1"/>
    </font>
    <font>
      <b/>
      <sz val="9"/>
      <color rgb="FFFFFFFF"/>
      <name val="Calibri"/>
      <charset val="1"/>
    </font>
    <font>
      <b/>
      <sz val="9"/>
      <color rgb="FF1A1A2E"/>
      <name val="Calibri"/>
      <family val="2"/>
      <charset val="1"/>
    </font>
    <font>
      <b/>
      <sz val="9"/>
      <color rgb="FF1A6E35"/>
      <name val="Calibri"/>
      <charset val="1"/>
    </font>
    <font>
      <b/>
      <sz val="9"/>
      <color rgb="FF444444"/>
      <name val="Calibri"/>
      <charset val="1"/>
    </font>
    <font>
      <b/>
      <sz val="14"/>
      <color theme="1"/>
      <name val="Arial"/>
      <family val="2"/>
      <charset val="1"/>
    </font>
    <font>
      <sz val="11"/>
      <name val="Segoe UI"/>
      <family val="2"/>
      <charset val="1"/>
    </font>
    <font>
      <sz val="11"/>
      <color theme="1"/>
      <name val="Segoe UI"/>
      <family val="2"/>
      <charset val="1"/>
    </font>
    <font>
      <b/>
      <sz val="13"/>
      <color rgb="FFFFFFFF"/>
      <name val="Calibri"/>
      <charset val="1"/>
    </font>
    <font>
      <b/>
      <sz val="11"/>
      <color rgb="FFE8A020"/>
      <name val="Calibri"/>
      <charset val="1"/>
    </font>
    <font>
      <b/>
      <sz val="18"/>
      <color rgb="FFFFFFFF"/>
      <name val="Arial"/>
      <charset val="1"/>
    </font>
    <font>
      <i/>
      <sz val="10"/>
      <color rgb="FF7F7F7F"/>
      <name val="Arial"/>
      <charset val="1"/>
    </font>
    <font>
      <b/>
      <sz val="11"/>
      <color rgb="FFFFFFFF"/>
      <name val="Arial"/>
      <charset val="1"/>
    </font>
    <font>
      <b/>
      <sz val="9"/>
      <color rgb="FF7D6608"/>
      <name val="Arial"/>
      <charset val="1"/>
    </font>
    <font>
      <b/>
      <sz val="9"/>
      <color rgb="FF003366"/>
      <name val="Arial"/>
      <charset val="1"/>
    </font>
    <font>
      <b/>
      <sz val="9"/>
      <color rgb="FF276221"/>
      <name val="Arial"/>
      <charset val="1"/>
    </font>
    <font>
      <b/>
      <sz val="22"/>
      <color rgb="FF7D6608"/>
      <name val="Arial"/>
      <charset val="1"/>
    </font>
    <font>
      <b/>
      <sz val="22"/>
      <color rgb="FF003366"/>
      <name val="Arial"/>
      <charset val="1"/>
    </font>
    <font>
      <b/>
      <sz val="22"/>
      <color rgb="FF276221"/>
      <name val="Arial"/>
      <charset val="1"/>
    </font>
    <font>
      <sz val="9"/>
      <color rgb="FF595959"/>
      <name val="Arial"/>
      <charset val="1"/>
    </font>
    <font>
      <i/>
      <sz val="9"/>
      <color rgb="FF595959"/>
      <name val="Arial"/>
      <charset val="1"/>
    </font>
    <font>
      <sz val="12"/>
      <name val="Arial"/>
      <charset val="1"/>
    </font>
    <font>
      <sz val="10"/>
      <name val="Arial"/>
      <charset val="1"/>
    </font>
    <font>
      <i/>
      <sz val="8"/>
      <color rgb="FFAAAAAA"/>
      <name val="Arial"/>
      <charset val="1"/>
    </font>
    <font>
      <b/>
      <sz val="10"/>
      <name val="Arial"/>
      <charset val="1"/>
    </font>
    <font>
      <sz val="9"/>
      <name val="Courier New"/>
      <charset val="1"/>
    </font>
    <font>
      <b/>
      <sz val="11"/>
      <color rgb="FFFFFFFF"/>
      <name val="Calibri"/>
      <family val="2"/>
      <charset val="1"/>
    </font>
    <font>
      <i/>
      <sz val="9"/>
      <color rgb="FF7F7F7F"/>
      <name val="Calibri"/>
      <family val="2"/>
      <charset val="1"/>
    </font>
    <font>
      <sz val="11"/>
      <color rgb="FF1F4E79"/>
      <name val="Calibri"/>
      <family val="2"/>
      <charset val="1"/>
    </font>
    <font>
      <b/>
      <sz val="13"/>
      <color rgb="FFFFFFFF"/>
      <name val="Arial"/>
      <charset val="1"/>
    </font>
  </fonts>
  <fills count="29">
    <fill>
      <patternFill patternType="none"/>
    </fill>
    <fill>
      <patternFill patternType="gray125"/>
    </fill>
    <fill>
      <patternFill patternType="solid">
        <fgColor rgb="FF1B3A5C"/>
        <bgColor rgb="FF003366"/>
      </patternFill>
    </fill>
    <fill>
      <patternFill patternType="solid">
        <fgColor rgb="FF27AE60"/>
        <bgColor rgb="FF1ABC9C"/>
      </patternFill>
    </fill>
    <fill>
      <patternFill patternType="solid">
        <fgColor rgb="FF2E75B6"/>
        <bgColor rgb="FF2E7D9A"/>
      </patternFill>
    </fill>
    <fill>
      <patternFill patternType="solid">
        <fgColor theme="4" tint="0.79989013336588644"/>
        <bgColor rgb="FFDEEAF1"/>
      </patternFill>
    </fill>
    <fill>
      <patternFill patternType="solid">
        <fgColor rgb="FFFFF3CD"/>
        <bgColor rgb="FFFFF2CC"/>
      </patternFill>
    </fill>
    <fill>
      <patternFill patternType="solid">
        <fgColor rgb="FFD5F5E3"/>
        <bgColor rgb="FFDBEEF4"/>
      </patternFill>
    </fill>
    <fill>
      <patternFill patternType="solid">
        <fgColor rgb="FFFFE4B5"/>
        <bgColor rgb="FFFFEB9C"/>
      </patternFill>
    </fill>
    <fill>
      <patternFill patternType="solid">
        <fgColor rgb="FFD3D3D3"/>
        <bgColor rgb="FFBDC3C7"/>
      </patternFill>
    </fill>
    <fill>
      <patternFill patternType="solid">
        <fgColor rgb="FFFEF5E7"/>
        <bgColor rgb="FFF2F2F2"/>
      </patternFill>
    </fill>
    <fill>
      <patternFill patternType="solid">
        <fgColor rgb="FF2E7D9A"/>
        <bgColor rgb="FF2E75B6"/>
      </patternFill>
    </fill>
    <fill>
      <patternFill patternType="solid">
        <fgColor rgb="FFFFFFFF"/>
        <bgColor rgb="FFFEF5E7"/>
      </patternFill>
    </fill>
    <fill>
      <patternFill patternType="solid">
        <fgColor rgb="FFF2F2F2"/>
        <bgColor rgb="FFEBF3FB"/>
      </patternFill>
    </fill>
    <fill>
      <patternFill patternType="solid">
        <fgColor rgb="FFEBF5FB"/>
        <bgColor rgb="FFEBF3FB"/>
      </patternFill>
    </fill>
    <fill>
      <patternFill patternType="solid">
        <fgColor rgb="FFC0392B"/>
        <bgColor rgb="FF9C6500"/>
      </patternFill>
    </fill>
    <fill>
      <patternFill patternType="solid">
        <fgColor rgb="FFE8A020"/>
        <bgColor rgb="FFFF7F00"/>
      </patternFill>
    </fill>
    <fill>
      <patternFill patternType="solid">
        <fgColor rgb="FFFADBD8"/>
        <bgColor rgb="FFFCE4D6"/>
      </patternFill>
    </fill>
    <fill>
      <patternFill patternType="solid">
        <fgColor theme="8" tint="0.79989013336588644"/>
        <bgColor rgb="FFDEEAF1"/>
      </patternFill>
    </fill>
    <fill>
      <patternFill patternType="solid">
        <fgColor rgb="FF1F4E79"/>
        <bgColor rgb="FF1B3A5C"/>
      </patternFill>
    </fill>
    <fill>
      <patternFill patternType="solid">
        <fgColor rgb="FFFFF2CC"/>
        <bgColor rgb="FFFFF3CD"/>
      </patternFill>
    </fill>
    <fill>
      <patternFill patternType="solid">
        <fgColor rgb="FFDEEAF1"/>
        <bgColor rgb="FFDCE6F2"/>
      </patternFill>
    </fill>
    <fill>
      <patternFill patternType="solid">
        <fgColor rgb="FFE2EFDA"/>
        <bgColor rgb="FFDEEAF1"/>
      </patternFill>
    </fill>
    <fill>
      <patternFill patternType="solid">
        <fgColor rgb="FF70AD47"/>
        <bgColor rgb="FF7F7F7F"/>
      </patternFill>
    </fill>
    <fill>
      <patternFill patternType="solid">
        <fgColor rgb="FFFF7F00"/>
        <bgColor rgb="FFE8A020"/>
      </patternFill>
    </fill>
    <fill>
      <patternFill patternType="solid">
        <fgColor rgb="FF595959"/>
        <bgColor rgb="FF444444"/>
      </patternFill>
    </fill>
    <fill>
      <patternFill patternType="solid">
        <fgColor rgb="FF7030A0"/>
        <bgColor rgb="FF8E44AD"/>
      </patternFill>
    </fill>
    <fill>
      <patternFill patternType="solid">
        <fgColor rgb="FFEBF3FB"/>
        <bgColor rgb="FFEBF5FB"/>
      </patternFill>
    </fill>
    <fill>
      <patternFill patternType="solid">
        <fgColor rgb="FF8E44AD"/>
        <bgColor rgb="FF7030A0"/>
      </patternFill>
    </fill>
  </fills>
  <borders count="12">
    <border>
      <left/>
      <right/>
      <top/>
      <bottom/>
      <diagonal/>
    </border>
    <border>
      <left style="thin">
        <color rgb="FF1B3A5C"/>
      </left>
      <right style="thin">
        <color rgb="FF1B3A5C"/>
      </right>
      <top style="thin">
        <color rgb="FF1B3A5C"/>
      </top>
      <bottom style="thin">
        <color rgb="FF1B3A5C"/>
      </bottom>
      <diagonal/>
    </border>
    <border>
      <left style="thin">
        <color auto="1"/>
      </left>
      <right style="thin">
        <color auto="1"/>
      </right>
      <top style="thin">
        <color auto="1"/>
      </top>
      <bottom style="thin">
        <color auto="1"/>
      </bottom>
      <diagonal/>
    </border>
    <border>
      <left style="thin">
        <color rgb="FFBDC3C7"/>
      </left>
      <right style="thin">
        <color rgb="FFBDC3C7"/>
      </right>
      <top style="thin">
        <color rgb="FFBDC3C7"/>
      </top>
      <bottom style="thin">
        <color rgb="FFBDC3C7"/>
      </bottom>
      <diagonal/>
    </border>
    <border>
      <left style="thin">
        <color rgb="FFBDC3C7"/>
      </left>
      <right/>
      <top style="thin">
        <color rgb="FFBDC3C7"/>
      </top>
      <bottom style="thin">
        <color rgb="FFBDC3C7"/>
      </bottom>
      <diagonal/>
    </border>
    <border>
      <left style="medium">
        <color rgb="FF1B3A5C"/>
      </left>
      <right style="medium">
        <color rgb="FF1B3A5C"/>
      </right>
      <top style="medium">
        <color rgb="FF1B3A5C"/>
      </top>
      <bottom style="medium">
        <color rgb="FF1B3A5C"/>
      </bottom>
      <diagonal/>
    </border>
    <border>
      <left style="thin">
        <color rgb="FF1B3A5C"/>
      </left>
      <right style="thin">
        <color rgb="FF1B3A5C"/>
      </right>
      <top style="thin">
        <color rgb="FF1B3A5C"/>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154">
    <xf numFmtId="0" fontId="0" fillId="0" borderId="0" xfId="0"/>
    <xf numFmtId="0" fontId="19" fillId="7" borderId="4" xfId="0" applyFont="1" applyFill="1" applyBorder="1" applyAlignment="1">
      <alignment horizontal="left" vertical="center"/>
    </xf>
    <xf numFmtId="0" fontId="2" fillId="11" borderId="0" xfId="0" applyFont="1" applyFill="1" applyAlignment="1">
      <alignment horizontal="center" vertical="center" wrapText="1"/>
    </xf>
    <xf numFmtId="0" fontId="14" fillId="2" borderId="2" xfId="0" applyFont="1" applyFill="1" applyBorder="1" applyAlignment="1">
      <alignment horizontal="center" vertical="center" wrapText="1"/>
    </xf>
    <xf numFmtId="0" fontId="16" fillId="11" borderId="7" xfId="0" applyFont="1" applyFill="1" applyBorder="1" applyAlignment="1">
      <alignment horizontal="center" vertical="center" wrapText="1"/>
    </xf>
    <xf numFmtId="0" fontId="1" fillId="16" borderId="7"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11"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4" fillId="2" borderId="8"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1" fillId="6" borderId="4" xfId="0" applyFont="1" applyFill="1" applyBorder="1" applyAlignment="1">
      <alignment horizontal="left" vertical="center" wrapText="1"/>
    </xf>
    <xf numFmtId="0" fontId="2" fillId="2" borderId="4" xfId="0" applyFont="1" applyFill="1" applyBorder="1" applyAlignment="1">
      <alignment horizontal="right" vertical="center"/>
    </xf>
    <xf numFmtId="0" fontId="8" fillId="6" borderId="0" xfId="0" applyFont="1" applyFill="1" applyAlignment="1">
      <alignment horizontal="center" vertical="center" wrapText="1"/>
    </xf>
    <xf numFmtId="0" fontId="1" fillId="2" borderId="0" xfId="0" applyFont="1" applyFill="1" applyAlignment="1">
      <alignment horizontal="center" vertical="center" wrapText="1"/>
    </xf>
    <xf numFmtId="0" fontId="2"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4" fillId="4" borderId="2"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3" xfId="0" applyFont="1" applyFill="1" applyBorder="1" applyAlignment="1">
      <alignment horizontal="left" vertical="center"/>
    </xf>
    <xf numFmtId="164" fontId="5" fillId="5" borderId="3" xfId="0" applyNumberFormat="1" applyFont="1" applyFill="1" applyBorder="1" applyAlignment="1">
      <alignment horizontal="center" vertical="center"/>
    </xf>
    <xf numFmtId="165" fontId="5" fillId="5" borderId="3" xfId="0" applyNumberFormat="1" applyFont="1" applyFill="1" applyBorder="1" applyAlignment="1">
      <alignment horizontal="center" vertical="center"/>
    </xf>
    <xf numFmtId="0" fontId="5" fillId="6" borderId="3" xfId="0" applyFont="1" applyFill="1" applyBorder="1" applyAlignment="1">
      <alignment horizontal="left" vertical="center"/>
    </xf>
    <xf numFmtId="0" fontId="5" fillId="6" borderId="3" xfId="0" applyFont="1" applyFill="1" applyBorder="1" applyAlignment="1">
      <alignment horizontal="left" vertical="center" wrapText="1"/>
    </xf>
    <xf numFmtId="0" fontId="6" fillId="0" borderId="0" xfId="0" applyFont="1"/>
    <xf numFmtId="165" fontId="6" fillId="0" borderId="0" xfId="0" applyNumberFormat="1" applyFont="1"/>
    <xf numFmtId="0" fontId="5" fillId="7" borderId="3" xfId="0" applyFont="1" applyFill="1" applyBorder="1" applyAlignment="1">
      <alignment horizontal="left" vertical="center"/>
    </xf>
    <xf numFmtId="0" fontId="5" fillId="7" borderId="3" xfId="0" applyFont="1" applyFill="1" applyBorder="1" applyAlignment="1">
      <alignment horizontal="left" vertical="center" wrapText="1"/>
    </xf>
    <xf numFmtId="0" fontId="5" fillId="8" borderId="3" xfId="0" applyFont="1" applyFill="1" applyBorder="1" applyAlignment="1">
      <alignment horizontal="left" vertical="center"/>
    </xf>
    <xf numFmtId="0" fontId="5" fillId="8" borderId="3" xfId="0" applyFont="1" applyFill="1" applyBorder="1" applyAlignment="1">
      <alignment horizontal="left" vertical="center" wrapText="1"/>
    </xf>
    <xf numFmtId="0" fontId="5" fillId="9" borderId="3" xfId="0" applyFont="1" applyFill="1" applyBorder="1" applyAlignment="1">
      <alignment horizontal="left" vertical="center"/>
    </xf>
    <xf numFmtId="0" fontId="5" fillId="9" borderId="3" xfId="0" applyFont="1" applyFill="1" applyBorder="1" applyAlignment="1">
      <alignment horizontal="left" vertical="center" wrapText="1"/>
    </xf>
    <xf numFmtId="0" fontId="5" fillId="10" borderId="3" xfId="0" applyFont="1" applyFill="1" applyBorder="1" applyAlignment="1">
      <alignment horizontal="left" vertical="center"/>
    </xf>
    <xf numFmtId="0" fontId="5" fillId="10" borderId="3" xfId="0" applyFont="1" applyFill="1" applyBorder="1" applyAlignment="1">
      <alignment horizontal="left" vertical="center" wrapText="1"/>
    </xf>
    <xf numFmtId="0" fontId="6" fillId="5" borderId="0" xfId="0" applyFont="1" applyFill="1"/>
    <xf numFmtId="0" fontId="0" fillId="5" borderId="0" xfId="0" applyFill="1"/>
    <xf numFmtId="0" fontId="7" fillId="5" borderId="0" xfId="0" applyFont="1" applyFill="1" applyAlignment="1">
      <alignment horizontal="left" vertical="center"/>
    </xf>
    <xf numFmtId="0" fontId="7" fillId="5" borderId="0" xfId="0" applyFont="1" applyFill="1" applyAlignment="1">
      <alignment horizontal="center" vertical="center"/>
    </xf>
    <xf numFmtId="164" fontId="7" fillId="5" borderId="3" xfId="0" applyNumberFormat="1" applyFont="1" applyFill="1" applyBorder="1" applyAlignment="1">
      <alignment horizontal="center" vertical="center"/>
    </xf>
    <xf numFmtId="164" fontId="7" fillId="5" borderId="0" xfId="0" applyNumberFormat="1" applyFont="1" applyFill="1" applyAlignment="1">
      <alignment horizontal="center" vertical="center"/>
    </xf>
    <xf numFmtId="0" fontId="7" fillId="6" borderId="0" xfId="0" applyFont="1" applyFill="1" applyAlignment="1">
      <alignment horizontal="left" vertical="center"/>
    </xf>
    <xf numFmtId="0" fontId="7" fillId="6" borderId="0" xfId="0" applyFont="1" applyFill="1" applyAlignment="1">
      <alignment horizontal="center" vertical="center"/>
    </xf>
    <xf numFmtId="164" fontId="7" fillId="6" borderId="0" xfId="0" applyNumberFormat="1" applyFont="1" applyFill="1" applyAlignment="1">
      <alignment horizontal="center" vertical="center"/>
    </xf>
    <xf numFmtId="0" fontId="2" fillId="11" borderId="1" xfId="0" applyFont="1" applyFill="1" applyBorder="1" applyAlignment="1">
      <alignment horizontal="center" vertical="center"/>
    </xf>
    <xf numFmtId="0" fontId="3" fillId="11" borderId="1" xfId="0" applyFont="1" applyFill="1" applyBorder="1" applyAlignment="1">
      <alignment horizontal="center" vertical="center"/>
    </xf>
    <xf numFmtId="0" fontId="9" fillId="12" borderId="3" xfId="0" applyFont="1" applyFill="1" applyBorder="1" applyAlignment="1">
      <alignment horizontal="left" vertical="center"/>
    </xf>
    <xf numFmtId="0" fontId="9" fillId="12" borderId="3" xfId="0" applyFont="1" applyFill="1" applyBorder="1" applyAlignment="1">
      <alignment horizontal="center" vertical="center"/>
    </xf>
    <xf numFmtId="49" fontId="9" fillId="12" borderId="3" xfId="0" applyNumberFormat="1" applyFont="1" applyFill="1" applyBorder="1" applyAlignment="1">
      <alignment horizontal="center" vertical="center"/>
    </xf>
    <xf numFmtId="166" fontId="0" fillId="0" borderId="0" xfId="0" applyNumberFormat="1" applyAlignment="1">
      <alignment horizontal="center" vertical="center"/>
    </xf>
    <xf numFmtId="165" fontId="9" fillId="12" borderId="3" xfId="0" applyNumberFormat="1" applyFont="1" applyFill="1" applyBorder="1" applyAlignment="1">
      <alignment horizontal="center" vertical="center"/>
    </xf>
    <xf numFmtId="165" fontId="10" fillId="13" borderId="3" xfId="0" applyNumberFormat="1" applyFont="1" applyFill="1" applyBorder="1" applyAlignment="1">
      <alignment horizontal="center" vertical="center"/>
    </xf>
    <xf numFmtId="0" fontId="9" fillId="14" borderId="3" xfId="0" applyFont="1" applyFill="1" applyBorder="1" applyAlignment="1">
      <alignment horizontal="left" vertical="center"/>
    </xf>
    <xf numFmtId="165" fontId="0" fillId="3" borderId="5" xfId="0" applyNumberFormat="1" applyFill="1" applyBorder="1" applyAlignment="1">
      <alignment horizontal="center" vertical="center"/>
    </xf>
    <xf numFmtId="165" fontId="0" fillId="15" borderId="5" xfId="0" applyNumberFormat="1" applyFill="1" applyBorder="1" applyAlignment="1">
      <alignment horizontal="center" vertical="center"/>
    </xf>
    <xf numFmtId="0" fontId="2" fillId="11" borderId="6" xfId="0" applyFont="1" applyFill="1" applyBorder="1" applyAlignment="1">
      <alignment horizontal="center" vertical="center"/>
    </xf>
    <xf numFmtId="0" fontId="9" fillId="12" borderId="2" xfId="0" applyFont="1" applyFill="1" applyBorder="1" applyAlignment="1">
      <alignment horizontal="center" vertical="center"/>
    </xf>
    <xf numFmtId="0" fontId="9" fillId="12" borderId="2" xfId="0" applyFont="1" applyFill="1" applyBorder="1" applyAlignment="1">
      <alignment horizontal="left" vertical="center"/>
    </xf>
    <xf numFmtId="0" fontId="12" fillId="12" borderId="2" xfId="0" applyFont="1" applyFill="1" applyBorder="1" applyAlignment="1">
      <alignment horizontal="left" vertical="center"/>
    </xf>
    <xf numFmtId="0" fontId="9" fillId="6" borderId="2" xfId="0" applyFont="1" applyFill="1" applyBorder="1" applyAlignment="1">
      <alignment horizontal="center" vertical="center"/>
    </xf>
    <xf numFmtId="164" fontId="9" fillId="12" borderId="2" xfId="0" applyNumberFormat="1" applyFont="1" applyFill="1" applyBorder="1" applyAlignment="1">
      <alignment horizontal="center" vertical="center"/>
    </xf>
    <xf numFmtId="0" fontId="9" fillId="14" borderId="2" xfId="0" applyFont="1" applyFill="1" applyBorder="1" applyAlignment="1">
      <alignment horizontal="left" vertical="center"/>
    </xf>
    <xf numFmtId="0" fontId="9" fillId="14" borderId="2" xfId="0" applyFont="1" applyFill="1" applyBorder="1" applyAlignment="1">
      <alignment horizontal="center" vertical="center"/>
    </xf>
    <xf numFmtId="0" fontId="0" fillId="0" borderId="7" xfId="0" applyBorder="1"/>
    <xf numFmtId="0" fontId="0" fillId="0" borderId="2" xfId="0" applyBorder="1"/>
    <xf numFmtId="0" fontId="0" fillId="0" borderId="9" xfId="0" applyBorder="1"/>
    <xf numFmtId="0" fontId="0" fillId="0" borderId="10" xfId="0" applyBorder="1"/>
    <xf numFmtId="0" fontId="0" fillId="0" borderId="11" xfId="0" applyBorder="1"/>
    <xf numFmtId="0" fontId="17" fillId="2" borderId="2" xfId="0" applyFont="1" applyFill="1" applyBorder="1" applyAlignment="1">
      <alignment horizontal="center" vertical="center"/>
    </xf>
    <xf numFmtId="0" fontId="5" fillId="12" borderId="2" xfId="0" applyFont="1" applyFill="1" applyBorder="1" applyAlignment="1">
      <alignment horizontal="left" vertical="center"/>
    </xf>
    <xf numFmtId="0" fontId="5" fillId="12" borderId="2" xfId="0" applyFont="1" applyFill="1" applyBorder="1" applyAlignment="1">
      <alignment horizontal="center" vertical="center"/>
    </xf>
    <xf numFmtId="0" fontId="5" fillId="13" borderId="2" xfId="0" applyFont="1" applyFill="1" applyBorder="1" applyAlignment="1">
      <alignment horizontal="center" vertical="center"/>
    </xf>
    <xf numFmtId="165" fontId="18" fillId="13" borderId="2" xfId="0" applyNumberFormat="1" applyFont="1" applyFill="1" applyBorder="1" applyAlignment="1">
      <alignment horizontal="center" vertical="center"/>
    </xf>
    <xf numFmtId="0" fontId="5" fillId="14" borderId="2" xfId="0" applyFont="1" applyFill="1" applyBorder="1" applyAlignment="1">
      <alignment horizontal="left" vertical="center"/>
    </xf>
    <xf numFmtId="0" fontId="5" fillId="14" borderId="2" xfId="0" applyFont="1" applyFill="1" applyBorder="1" applyAlignment="1">
      <alignment horizontal="center" vertical="center"/>
    </xf>
    <xf numFmtId="0" fontId="5" fillId="7" borderId="2" xfId="0" applyFont="1" applyFill="1" applyBorder="1" applyAlignment="1">
      <alignment horizontal="center" vertical="center"/>
    </xf>
    <xf numFmtId="165" fontId="18" fillId="7" borderId="2" xfId="0" applyNumberFormat="1" applyFont="1" applyFill="1" applyBorder="1" applyAlignment="1">
      <alignment horizontal="center" vertical="center"/>
    </xf>
    <xf numFmtId="0" fontId="5" fillId="17" borderId="2" xfId="0" applyFont="1" applyFill="1" applyBorder="1" applyAlignment="1">
      <alignment horizontal="center" vertical="center"/>
    </xf>
    <xf numFmtId="165" fontId="18" fillId="17" borderId="2" xfId="0" applyNumberFormat="1" applyFont="1" applyFill="1" applyBorder="1" applyAlignment="1">
      <alignment horizontal="center" vertical="center"/>
    </xf>
    <xf numFmtId="0" fontId="6" fillId="0" borderId="2" xfId="0" applyFont="1" applyBorder="1"/>
    <xf numFmtId="0" fontId="6" fillId="0" borderId="2" xfId="0" applyFont="1" applyBorder="1" applyAlignment="1">
      <alignment horizontal="center" vertical="center"/>
    </xf>
    <xf numFmtId="0" fontId="6" fillId="18" borderId="2" xfId="0" applyFont="1" applyFill="1" applyBorder="1"/>
    <xf numFmtId="0" fontId="6" fillId="18" borderId="2" xfId="0" applyFont="1" applyFill="1" applyBorder="1" applyAlignment="1">
      <alignment horizontal="center" vertical="center"/>
    </xf>
    <xf numFmtId="0" fontId="19" fillId="7" borderId="3" xfId="0" applyFont="1" applyFill="1" applyBorder="1" applyAlignment="1">
      <alignment horizontal="center" vertical="center"/>
    </xf>
    <xf numFmtId="0" fontId="8" fillId="8" borderId="3" xfId="0" applyFont="1" applyFill="1" applyBorder="1" applyAlignment="1">
      <alignment horizontal="center" vertical="center"/>
    </xf>
    <xf numFmtId="0" fontId="8" fillId="10" borderId="3" xfId="0" applyFont="1" applyFill="1" applyBorder="1" applyAlignment="1">
      <alignment horizontal="center" vertical="center"/>
    </xf>
    <xf numFmtId="0" fontId="8" fillId="6" borderId="3" xfId="0" applyFont="1" applyFill="1" applyBorder="1" applyAlignment="1">
      <alignment horizontal="center" vertical="center"/>
    </xf>
    <xf numFmtId="0" fontId="20" fillId="9" borderId="3" xfId="0" applyFont="1" applyFill="1" applyBorder="1" applyAlignment="1">
      <alignment horizontal="center" vertical="center"/>
    </xf>
    <xf numFmtId="0" fontId="21" fillId="0" borderId="2" xfId="0" applyFont="1" applyBorder="1"/>
    <xf numFmtId="0" fontId="22" fillId="0" borderId="2" xfId="0" applyFont="1" applyBorder="1" applyAlignment="1">
      <alignment vertical="center" wrapText="1"/>
    </xf>
    <xf numFmtId="164" fontId="22" fillId="0" borderId="2" xfId="0" applyNumberFormat="1" applyFont="1" applyBorder="1" applyAlignment="1">
      <alignment vertical="center" wrapText="1"/>
    </xf>
    <xf numFmtId="0" fontId="23" fillId="0" borderId="2" xfId="0" applyFont="1" applyBorder="1"/>
    <xf numFmtId="164" fontId="23" fillId="0" borderId="2" xfId="0" applyNumberFormat="1" applyFont="1" applyBorder="1"/>
    <xf numFmtId="164" fontId="0" fillId="0" borderId="2" xfId="0" applyNumberFormat="1" applyBorder="1"/>
    <xf numFmtId="0" fontId="10" fillId="13" borderId="3" xfId="0" applyFont="1" applyFill="1" applyBorder="1" applyAlignment="1">
      <alignment horizontal="left" vertical="top" wrapText="1"/>
    </xf>
    <xf numFmtId="0" fontId="9" fillId="12" borderId="3" xfId="0" applyFont="1" applyFill="1" applyBorder="1" applyAlignment="1">
      <alignment horizontal="left" vertical="top" wrapText="1"/>
    </xf>
    <xf numFmtId="0" fontId="2" fillId="11" borderId="3" xfId="0" applyFont="1" applyFill="1" applyBorder="1" applyAlignment="1">
      <alignment horizontal="center" vertical="center"/>
    </xf>
    <xf numFmtId="0" fontId="37" fillId="0" borderId="0" xfId="0" applyFont="1" applyAlignment="1">
      <alignment horizontal="center" vertical="center"/>
    </xf>
    <xf numFmtId="0" fontId="40" fillId="0" borderId="0" xfId="0" applyFont="1" applyAlignment="1">
      <alignment horizontal="left" vertical="top"/>
    </xf>
    <xf numFmtId="0" fontId="41" fillId="0" borderId="0" xfId="0" applyFont="1" applyAlignment="1">
      <alignment horizontal="left" vertical="top" wrapText="1"/>
    </xf>
    <xf numFmtId="0" fontId="43" fillId="0" borderId="0" xfId="0" applyFont="1"/>
    <xf numFmtId="0" fontId="42" fillId="4" borderId="0" xfId="0" applyFont="1" applyFill="1"/>
    <xf numFmtId="0" fontId="44" fillId="27" borderId="0" xfId="0" applyFont="1" applyFill="1"/>
    <xf numFmtId="0" fontId="4" fillId="19" borderId="2" xfId="0" applyFont="1" applyFill="1" applyBorder="1" applyAlignment="1">
      <alignment horizontal="left" vertical="center" wrapText="1" indent="1"/>
    </xf>
    <xf numFmtId="0" fontId="38" fillId="12" borderId="2" xfId="0" applyFont="1" applyFill="1" applyBorder="1" applyAlignment="1">
      <alignment horizontal="left" vertical="center" wrapText="1" indent="1"/>
    </xf>
    <xf numFmtId="0" fontId="38" fillId="13" borderId="2" xfId="0" applyFont="1" applyFill="1" applyBorder="1" applyAlignment="1">
      <alignment horizontal="left" vertical="center" wrapText="1" indent="1"/>
    </xf>
    <xf numFmtId="0" fontId="2" fillId="28" borderId="1" xfId="0" applyFont="1" applyFill="1" applyBorder="1" applyAlignment="1">
      <alignment horizontal="center" vertical="center"/>
    </xf>
    <xf numFmtId="0" fontId="7" fillId="6" borderId="3" xfId="0" applyFont="1" applyFill="1" applyBorder="1" applyAlignment="1">
      <alignment horizontal="left" vertical="center"/>
    </xf>
    <xf numFmtId="0" fontId="7" fillId="6" borderId="3" xfId="0" applyFont="1" applyFill="1" applyBorder="1" applyAlignment="1">
      <alignment horizontal="left" vertical="center" wrapText="1"/>
    </xf>
    <xf numFmtId="0" fontId="7" fillId="7" borderId="3" xfId="0" applyFont="1" applyFill="1" applyBorder="1" applyAlignment="1">
      <alignment horizontal="left" vertical="center"/>
    </xf>
    <xf numFmtId="0" fontId="7" fillId="7" borderId="3" xfId="0" applyFont="1" applyFill="1" applyBorder="1" applyAlignment="1">
      <alignment horizontal="left" vertical="center" wrapText="1"/>
    </xf>
    <xf numFmtId="0" fontId="7" fillId="8" borderId="3" xfId="0" applyFont="1" applyFill="1" applyBorder="1" applyAlignment="1">
      <alignment horizontal="left" vertical="center"/>
    </xf>
    <xf numFmtId="0" fontId="7" fillId="8" borderId="3" xfId="0" applyFont="1" applyFill="1" applyBorder="1" applyAlignment="1">
      <alignment horizontal="left" vertical="center" wrapText="1"/>
    </xf>
    <xf numFmtId="0" fontId="7" fillId="9" borderId="3" xfId="0" applyFont="1" applyFill="1" applyBorder="1" applyAlignment="1">
      <alignment horizontal="left" vertical="center"/>
    </xf>
    <xf numFmtId="0" fontId="7" fillId="9" borderId="3" xfId="0" applyFont="1" applyFill="1" applyBorder="1" applyAlignment="1">
      <alignment horizontal="left" vertical="center" wrapText="1"/>
    </xf>
    <xf numFmtId="0" fontId="7" fillId="10" borderId="3" xfId="0" applyFont="1" applyFill="1" applyBorder="1" applyAlignment="1">
      <alignment horizontal="left" vertical="center"/>
    </xf>
    <xf numFmtId="0" fontId="7" fillId="10" borderId="3" xfId="0" applyFont="1" applyFill="1" applyBorder="1" applyAlignment="1">
      <alignment horizontal="left" vertical="center" wrapText="1"/>
    </xf>
    <xf numFmtId="20" fontId="0" fillId="0" borderId="0" xfId="0" applyNumberFormat="1"/>
    <xf numFmtId="165" fontId="0" fillId="0" borderId="0" xfId="0" applyNumberFormat="1"/>
    <xf numFmtId="167" fontId="0" fillId="0" borderId="0" xfId="0" applyNumberFormat="1"/>
    <xf numFmtId="0" fontId="8" fillId="8" borderId="4" xfId="0" applyFont="1" applyFill="1" applyBorder="1" applyAlignment="1">
      <alignment horizontal="left" vertical="center"/>
    </xf>
    <xf numFmtId="0" fontId="8" fillId="10" borderId="4" xfId="0" applyFont="1" applyFill="1" applyBorder="1" applyAlignment="1">
      <alignment horizontal="left" vertical="center"/>
    </xf>
    <xf numFmtId="0" fontId="8" fillId="6" borderId="4" xfId="0" applyFont="1" applyFill="1" applyBorder="1" applyAlignment="1">
      <alignment horizontal="left" vertical="center"/>
    </xf>
    <xf numFmtId="0" fontId="20" fillId="9" borderId="4" xfId="0" applyFont="1" applyFill="1" applyBorder="1" applyAlignment="1">
      <alignment horizontal="left" vertical="center"/>
    </xf>
    <xf numFmtId="0" fontId="24" fillId="2" borderId="0" xfId="0" applyFont="1" applyFill="1" applyAlignment="1">
      <alignment horizontal="center" vertical="center" wrapText="1"/>
    </xf>
    <xf numFmtId="0" fontId="16" fillId="11" borderId="4" xfId="0" applyFont="1" applyFill="1" applyBorder="1" applyAlignment="1">
      <alignment horizontal="left" vertical="center"/>
    </xf>
    <xf numFmtId="0" fontId="13" fillId="2" borderId="0" xfId="0" applyFont="1" applyFill="1" applyAlignment="1">
      <alignment horizontal="center" vertical="center" wrapText="1"/>
    </xf>
    <xf numFmtId="0" fontId="25" fillId="2" borderId="0" xfId="0" applyFont="1" applyFill="1" applyAlignment="1">
      <alignment horizontal="center" vertical="center" wrapText="1"/>
    </xf>
    <xf numFmtId="0" fontId="26" fillId="19" borderId="0" xfId="0" applyFont="1" applyFill="1" applyAlignment="1">
      <alignment horizontal="center" vertical="center"/>
    </xf>
    <xf numFmtId="0" fontId="27" fillId="0" borderId="0" xfId="0" applyFont="1" applyAlignment="1">
      <alignment horizontal="center" vertical="center"/>
    </xf>
    <xf numFmtId="0" fontId="28" fillId="4" borderId="0" xfId="0" applyFont="1" applyFill="1" applyAlignment="1">
      <alignment horizontal="left" vertical="center" indent="1"/>
    </xf>
    <xf numFmtId="0" fontId="29" fillId="20" borderId="0" xfId="0" applyFont="1" applyFill="1" applyAlignment="1">
      <alignment horizontal="center" vertical="center"/>
    </xf>
    <xf numFmtId="0" fontId="30" fillId="21" borderId="0" xfId="0" applyFont="1" applyFill="1" applyAlignment="1">
      <alignment horizontal="center" vertical="center"/>
    </xf>
    <xf numFmtId="0" fontId="31" fillId="22" borderId="0" xfId="0" applyFont="1" applyFill="1" applyAlignment="1">
      <alignment horizontal="center" vertical="center"/>
    </xf>
    <xf numFmtId="0" fontId="32" fillId="20" borderId="0" xfId="0" applyFont="1" applyFill="1" applyAlignment="1">
      <alignment horizontal="center" vertical="center"/>
    </xf>
    <xf numFmtId="0" fontId="33" fillId="21" borderId="0" xfId="0" applyFont="1" applyFill="1" applyAlignment="1">
      <alignment horizontal="center" vertical="center"/>
    </xf>
    <xf numFmtId="0" fontId="34" fillId="22" borderId="0" xfId="0" applyFont="1" applyFill="1" applyAlignment="1">
      <alignment horizontal="center" vertical="center"/>
    </xf>
    <xf numFmtId="0" fontId="35" fillId="0" borderId="0" xfId="0" applyFont="1" applyAlignment="1">
      <alignment horizontal="left" vertical="center" indent="1"/>
    </xf>
    <xf numFmtId="0" fontId="36" fillId="0" borderId="0" xfId="0" applyFont="1" applyAlignment="1">
      <alignment horizontal="left" vertical="center" indent="1"/>
    </xf>
    <xf numFmtId="0" fontId="28" fillId="19" borderId="0" xfId="0" applyFont="1" applyFill="1" applyAlignment="1">
      <alignment horizontal="left" vertical="center" indent="2"/>
    </xf>
    <xf numFmtId="0" fontId="36" fillId="0" borderId="0" xfId="0" applyFont="1" applyAlignment="1">
      <alignment horizontal="left" vertical="center"/>
    </xf>
    <xf numFmtId="0" fontId="28" fillId="23" borderId="0" xfId="0" applyFont="1" applyFill="1" applyAlignment="1">
      <alignment horizontal="left" vertical="center" indent="2"/>
    </xf>
    <xf numFmtId="0" fontId="28" fillId="24" borderId="0" xfId="0" applyFont="1" applyFill="1" applyAlignment="1">
      <alignment horizontal="left" vertical="center" indent="2"/>
    </xf>
    <xf numFmtId="0" fontId="28" fillId="4" borderId="0" xfId="0" applyFont="1" applyFill="1" applyAlignment="1">
      <alignment horizontal="left" vertical="center" indent="2"/>
    </xf>
    <xf numFmtId="0" fontId="28" fillId="25" borderId="0" xfId="0" applyFont="1" applyFill="1" applyAlignment="1">
      <alignment horizontal="left" vertical="center" indent="2"/>
    </xf>
    <xf numFmtId="0" fontId="28" fillId="26" borderId="0" xfId="0" applyFont="1" applyFill="1" applyAlignment="1">
      <alignment horizontal="left" vertical="center" indent="2"/>
    </xf>
    <xf numFmtId="0" fontId="28" fillId="26" borderId="0" xfId="0" applyFont="1" applyFill="1" applyAlignment="1">
      <alignment horizontal="left" vertical="center" indent="1"/>
    </xf>
    <xf numFmtId="0" fontId="38" fillId="13" borderId="0" xfId="0" applyFont="1" applyFill="1" applyAlignment="1">
      <alignment horizontal="left" vertical="center" indent="1"/>
    </xf>
    <xf numFmtId="0" fontId="39" fillId="0" borderId="0" xfId="0" applyFont="1" applyAlignment="1">
      <alignment horizontal="center" vertical="center"/>
    </xf>
    <xf numFmtId="0" fontId="28" fillId="26" borderId="0" xfId="0" applyFont="1" applyFill="1" applyAlignment="1">
      <alignment horizontal="center" vertical="center"/>
    </xf>
    <xf numFmtId="0" fontId="36" fillId="0" borderId="0" xfId="0" applyFont="1" applyAlignment="1">
      <alignment horizontal="center" wrapText="1"/>
    </xf>
    <xf numFmtId="0" fontId="42" fillId="19" borderId="0" xfId="0" applyFont="1" applyFill="1"/>
    <xf numFmtId="0" fontId="45" fillId="26" borderId="0" xfId="0" applyFont="1" applyFill="1" applyAlignment="1">
      <alignment horizontal="center" vertical="center"/>
    </xf>
    <xf numFmtId="0" fontId="16" fillId="2" borderId="0" xfId="0" applyFont="1" applyFill="1" applyAlignment="1">
      <alignment horizontal="center" vertical="center" wrapText="1"/>
    </xf>
    <xf numFmtId="0" fontId="45" fillId="19" borderId="0" xfId="0" applyFont="1" applyFill="1" applyAlignment="1">
      <alignment horizontal="center" vertical="center"/>
    </xf>
  </cellXfs>
  <cellStyles count="1">
    <cellStyle name="Normal" xfId="0" builtinId="0"/>
  </cellStyles>
  <dxfs count="12">
    <dxf>
      <font>
        <color rgb="FF7D6608"/>
      </font>
      <fill>
        <patternFill>
          <bgColor rgb="FFFFF2CC"/>
        </patternFill>
      </fill>
    </dxf>
    <dxf>
      <font>
        <color rgb="FF9C0006"/>
      </font>
      <fill>
        <patternFill>
          <bgColor rgb="FFFCE4D6"/>
        </patternFill>
      </fill>
    </dxf>
    <dxf>
      <font>
        <color rgb="FF276221"/>
      </font>
      <fill>
        <patternFill>
          <bgColor rgb="FFC6EFCE"/>
        </patternFill>
      </fill>
    </dxf>
    <dxf>
      <font>
        <b/>
        <color rgb="FF9C6500"/>
      </font>
      <fill>
        <patternFill>
          <bgColor rgb="FFFFEB9C"/>
        </patternFill>
      </fill>
    </dxf>
    <dxf>
      <fill>
        <patternFill>
          <bgColor rgb="FFFFF2CC"/>
        </patternFill>
      </fill>
    </dxf>
    <dxf>
      <font>
        <color rgb="FF9C0006"/>
      </font>
      <fill>
        <patternFill>
          <bgColor rgb="FFFCE4D6"/>
        </patternFill>
      </fill>
    </dxf>
    <dxf>
      <font>
        <color rgb="FF276221"/>
      </font>
      <fill>
        <patternFill>
          <bgColor rgb="FFC6EFCE"/>
        </patternFill>
      </fill>
    </dxf>
    <dxf>
      <fill>
        <patternFill>
          <bgColor rgb="FFDEEAF1"/>
        </patternFill>
      </fill>
    </dxf>
    <dxf>
      <font>
        <color rgb="FF7D6608"/>
      </font>
      <fill>
        <patternFill>
          <bgColor rgb="FFFFF2CC"/>
        </patternFill>
      </fill>
    </dxf>
    <dxf>
      <font>
        <color rgb="FF9C0006"/>
      </font>
      <fill>
        <patternFill>
          <bgColor rgb="FFFCE4D6"/>
        </patternFill>
      </fill>
    </dxf>
    <dxf>
      <font>
        <color rgb="FF276221"/>
      </font>
      <fill>
        <patternFill>
          <bgColor rgb="FFC6EFCE"/>
        </patternFill>
      </fill>
    </dxf>
    <dxf>
      <fill>
        <patternFill>
          <bgColor theme="0"/>
        </patternFill>
      </fill>
    </dxf>
  </dxfs>
  <tableStyles count="1" defaultTableStyle="TableStyleMedium2" defaultPivotStyle="PivotStyleLight16">
    <tableStyle name="Invisible" pivot="0" table="0" count="0" xr9:uid="{B4E3CB11-463F-4E78-8A19-C6EAF59399BF}"/>
  </tableStyles>
  <colors>
    <indexedColors>
      <rgbColor rgb="FF000000"/>
      <rgbColor rgb="FFFFFFFF"/>
      <rgbColor rgb="FFFF0000"/>
      <rgbColor rgb="FF00FF00"/>
      <rgbColor rgb="FF0000FF"/>
      <rgbColor rgb="FFFFF2CC"/>
      <rgbColor rgb="FFFF00FF"/>
      <rgbColor rgb="FFEBF3FB"/>
      <rgbColor rgb="FF9C0006"/>
      <rgbColor rgb="FF1A6E35"/>
      <rgbColor rgb="FF000080"/>
      <rgbColor rgb="FF7D6608"/>
      <rgbColor rgb="FF7030A0"/>
      <rgbColor rgb="FF2E7D9A"/>
      <rgbColor rgb="FFBDC3C7"/>
      <rgbColor rgb="FF7F7F7F"/>
      <rgbColor rgb="FFDEEAF1"/>
      <rgbColor rgb="FF8E44AD"/>
      <rgbColor rgb="FFFFF3CD"/>
      <rgbColor rgb="FFDBEEF4"/>
      <rgbColor rgb="FF660066"/>
      <rgbColor rgb="FF9C6500"/>
      <rgbColor rgb="FF1F4E79"/>
      <rgbColor rgb="FFD3D3D3"/>
      <rgbColor rgb="FF000080"/>
      <rgbColor rgb="FFFF00FF"/>
      <rgbColor rgb="FFE2EFDA"/>
      <rgbColor rgb="FFF2F2F2"/>
      <rgbColor rgb="FF800080"/>
      <rgbColor rgb="FF800000"/>
      <rgbColor rgb="FF008080"/>
      <rgbColor rgb="FF0000FF"/>
      <rgbColor rgb="FFFEF5E7"/>
      <rgbColor rgb="FFEBF5FB"/>
      <rgbColor rgb="FFD5F5E3"/>
      <rgbColor rgb="FFFFEB9C"/>
      <rgbColor rgb="FFC6EFCE"/>
      <rgbColor rgb="FFFADBD8"/>
      <rgbColor rgb="FFDCE6F2"/>
      <rgbColor rgb="FFFFE4B5"/>
      <rgbColor rgb="FF2E75B6"/>
      <rgbColor rgb="FF1ABC9C"/>
      <rgbColor rgb="FF70AD47"/>
      <rgbColor rgb="FFFCE4D6"/>
      <rgbColor rgb="FFE8A020"/>
      <rgbColor rgb="FFFF7F00"/>
      <rgbColor rgb="FF595959"/>
      <rgbColor rgb="FFAAAAAA"/>
      <rgbColor rgb="FF003366"/>
      <rgbColor rgb="FF27AE60"/>
      <rgbColor rgb="FF276221"/>
      <rgbColor rgb="FF1A1A2E"/>
      <rgbColor rgb="FF7D4E00"/>
      <rgbColor rgb="FFC0392B"/>
      <rgbColor rgb="FF1B3A5C"/>
      <rgbColor rgb="FF444444"/>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blApuracao" displayName="TblApuracao" ref="A2:W259" totalsRowShown="0">
  <autoFilter ref="A2:W259" xr:uid="{00000000-0009-0000-0100-000002000000}"/>
  <tableColumns count="23">
    <tableColumn id="1" xr3:uid="{00000000-0010-0000-0000-000001000000}" name="#"/>
    <tableColumn id="2" xr3:uid="{00000000-0010-0000-0000-000002000000}" name="COLABORADOR"/>
    <tableColumn id="3" xr3:uid="{00000000-0010-0000-0000-000003000000}" name="SETOR"/>
    <tableColumn id="4" xr3:uid="{00000000-0010-0000-0000-000004000000}" name="COMPETÊNCIA"/>
    <tableColumn id="5" xr3:uid="{00000000-0010-0000-0000-000005000000}" name="PERÍODO"/>
    <tableColumn id="6" xr3:uid="{00000000-0010-0000-0000-000006000000}" name="CARGA (h/dia)"/>
    <tableColumn id="7" xr3:uid="{00000000-0010-0000-0000-000007000000}" name="TRAB. SÁB?"/>
    <tableColumn id="8" xr3:uid="{00000000-0010-0000-0000-000008000000}" name="SALDO ANT. (h:mm)"/>
    <tableColumn id="9" xr3:uid="{00000000-0010-0000-0000-000009000000}" name="HRS EXTRAS (h:mm)"/>
    <tableColumn id="10" xr3:uid="{00000000-0010-0000-0000-00000A000000}" name="FALTAS/ATRASOS (h:mm)"/>
    <tableColumn id="11" xr3:uid="{00000000-0010-0000-0000-00000B000000}" name="AJUSTE MANUAL (h:mm)"/>
    <tableColumn id="12" xr3:uid="{00000000-0010-0000-0000-00000C000000}" name="SALDO MÊS (h:mm)"/>
    <tableColumn id="13" xr3:uid="{00000000-0010-0000-0000-00000D000000}" name="SALDO ACUM. (+)"/>
    <tableColumn id="14" xr3:uid="{00000000-0010-0000-0000-00000E000000}" name="SALDO ACUM. (-)"/>
    <tableColumn id="15" xr3:uid="{00000000-0010-0000-0000-00000F000000}" name="SALDO LÍQUIDO (h:mm)"/>
    <tableColumn id="16" xr3:uid="{00000000-0010-0000-0000-000010000000}" name="FONTE"/>
    <tableColumn id="17" xr3:uid="{00000000-0010-0000-0000-000011000000}" name="CRITÉRIO"/>
    <tableColumn id="18" xr3:uid="{00000000-0010-0000-0000-000012000000}" name="OBSERVAÇÕES / CORREÇÕES APLICADAS"/>
    <tableColumn id="19" xr3:uid="{00000000-0010-0000-0000-000013000000}" name="_CHAVE"/>
    <tableColumn id="20" xr3:uid="{00000000-0010-0000-0000-000014000000}" name="Coluna2"/>
    <tableColumn id="21" xr3:uid="{00000000-0010-0000-0000-000015000000}" name="Coluna3"/>
    <tableColumn id="22" xr3:uid="{00000000-0010-0000-0000-000016000000}" name="Coluna1"/>
    <tableColumn id="23" xr3:uid="{00000000-0010-0000-0000-000017000000}" name="Coluna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blResumo" displayName="TblResumo" ref="A2:J14" totalsRowShown="0">
  <autoFilter ref="A2:J14" xr:uid="{00000000-0009-0000-0100-000005000000}"/>
  <tableColumns count="10">
    <tableColumn id="1" xr3:uid="{00000000-0010-0000-0100-000001000000}" name="COLABORADOR"/>
    <tableColumn id="2" xr3:uid="{00000000-0010-0000-0100-000002000000}" name="SETOR"/>
    <tableColumn id="3" xr3:uid="{00000000-0010-0000-0100-000003000000}" name="CARGA ATUAL (h/dia)"/>
    <tableColumn id="4" xr3:uid="{00000000-0010-0000-0100-000004000000}" name="1ª COMPETÊNCIA"/>
    <tableColumn id="5" xr3:uid="{00000000-0010-0000-0100-000005000000}" name="ÚLTIMA COMPETÊNCIA"/>
    <tableColumn id="6" xr3:uid="{00000000-0010-0000-0100-000006000000}" name="TOTAL COMPETÊNCIAS"/>
    <tableColumn id="7" xr3:uid="{00000000-0010-0000-0100-000007000000}" name="ZEROS APLICADOS"/>
    <tableColumn id="8" xr3:uid="{00000000-0010-0000-0100-000008000000}" name="SALDO_ACUMULADO (+)"/>
    <tableColumn id="9" xr3:uid="{00000000-0010-0000-0100-000009000000}" name="SALDO ACUMULADO (-)"/>
    <tableColumn id="10" xr3:uid="{00000000-0010-0000-0100-00000A000000}" name="SALDO LÍQUIDO FINAL"/>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Cadastro" displayName="TblCadastro" ref="A2:K14" totalsRowShown="0">
  <autoFilter ref="A2:K14" xr:uid="{00000000-0009-0000-0100-000003000000}"/>
  <tableColumns count="11">
    <tableColumn id="1" xr3:uid="{00000000-0010-0000-0200-000001000000}" name="#"/>
    <tableColumn id="2" xr3:uid="{00000000-0010-0000-0200-000002000000}" name="NOME COMPLETO"/>
    <tableColumn id="3" xr3:uid="{00000000-0010-0000-0200-000003000000}" name="SETOR"/>
    <tableColumn id="4" xr3:uid="{00000000-0010-0000-0200-000004000000}" name="FUNÇÃO"/>
    <tableColumn id="5" xr3:uid="{00000000-0010-0000-0200-000005000000}" name="DATA ADMISSÃO"/>
    <tableColumn id="6" xr3:uid="{00000000-0010-0000-0200-000006000000}" name="JORNADA ATUAL (h/dia)"/>
    <tableColumn id="7" xr3:uid="{00000000-0010-0000-0200-000007000000}" name="TRABALHA SÁB?"/>
    <tableColumn id="8" xr3:uid="{00000000-0010-0000-0200-000008000000}" name="JORNADA SÁB (h)"/>
    <tableColumn id="9" xr3:uid="{00000000-0010-0000-0200-000009000000}" name="MATRÍCULA"/>
    <tableColumn id="10" xr3:uid="{00000000-0010-0000-0200-00000A000000}" name="SALDO INICIAL"/>
    <tableColumn id="11" xr3:uid="{00000000-0010-0000-0200-00000B000000}" name="OBSERVAÇÕES"/>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blCriterios" displayName="TblCriterios" ref="A2:H44" totalsRowShown="0">
  <autoFilter ref="A2:H44" xr:uid="{00000000-0009-0000-0100-000004000000}"/>
  <tableColumns count="8">
    <tableColumn id="1" xr3:uid="{00000000-0010-0000-0400-000001000000}" name="#"/>
    <tableColumn id="2" xr3:uid="{00000000-0010-0000-0400-000002000000}" name="COLABORADOR"/>
    <tableColumn id="3" xr3:uid="{00000000-0010-0000-0400-000003000000}" name="COMPETÊNCIA"/>
    <tableColumn id="4" xr3:uid="{00000000-0010-0000-0400-000004000000}" name="CRITÉRIO APLICADO"/>
    <tableColumn id="5" xr3:uid="{00000000-0010-0000-0400-000005000000}" name="VALOR ORIGINAL NA BASE"/>
    <tableColumn id="6" xr3:uid="{00000000-0010-0000-0400-000006000000}" name="VALOR APLICADO (corrigido)"/>
    <tableColumn id="7" xr3:uid="{00000000-0010-0000-0400-000007000000}" name="IMPACTO NO SALDO MÊS"/>
    <tableColumn id="8" xr3:uid="{00000000-0010-0000-0400-000008000000}" name="JUSTIFICATIVA TÉCNICA"/>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1FDF460-34BE-47C3-BEAF-E39468FC012D}">
  <we:reference id="wa200009238" version="1.0.0.0" store="pt-BR" storeType="OMEX"/>
  <we:alternateReferences>
    <we:reference id="WA200009238" version="1.0.0.0" store="WA200009238"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B3A5C"/>
  </sheetPr>
  <dimension ref="B2:D15"/>
  <sheetViews>
    <sheetView zoomScaleNormal="100" workbookViewId="0">
      <selection activeCell="B13" sqref="B13:D13"/>
    </sheetView>
  </sheetViews>
  <sheetFormatPr defaultColWidth="8.7109375" defaultRowHeight="15" x14ac:dyDescent="0.25"/>
  <cols>
    <col min="1" max="1" width="3" customWidth="1"/>
    <col min="2" max="2" width="34" customWidth="1"/>
    <col min="3" max="3" width="54" customWidth="1"/>
    <col min="4" max="4" width="22" customWidth="1"/>
    <col min="5" max="5" width="3" customWidth="1"/>
  </cols>
  <sheetData>
    <row r="2" spans="2:4" ht="49.5" customHeight="1" x14ac:dyDescent="0.25">
      <c r="B2" s="125" t="s">
        <v>270</v>
      </c>
      <c r="C2" s="125"/>
      <c r="D2" s="125"/>
    </row>
    <row r="3" spans="2:4" ht="21.75" customHeight="1" x14ac:dyDescent="0.25">
      <c r="B3" s="126" t="s">
        <v>271</v>
      </c>
      <c r="C3" s="126"/>
      <c r="D3" s="126"/>
    </row>
    <row r="4" spans="2:4" ht="7.5" customHeight="1" x14ac:dyDescent="0.25"/>
    <row r="5" spans="2:4" ht="24" customHeight="1" x14ac:dyDescent="0.25">
      <c r="B5" s="95" t="s">
        <v>272</v>
      </c>
      <c r="C5" s="95" t="s">
        <v>180</v>
      </c>
      <c r="D5" s="95" t="s">
        <v>273</v>
      </c>
    </row>
    <row r="6" spans="2:4" ht="19.5" customHeight="1" x14ac:dyDescent="0.25">
      <c r="B6" s="51" t="s">
        <v>274</v>
      </c>
      <c r="C6" s="51" t="s">
        <v>275</v>
      </c>
      <c r="D6" s="51" t="s">
        <v>276</v>
      </c>
    </row>
    <row r="7" spans="2:4" ht="19.5" customHeight="1" x14ac:dyDescent="0.25">
      <c r="B7" s="45" t="s">
        <v>277</v>
      </c>
      <c r="C7" s="45" t="s">
        <v>278</v>
      </c>
      <c r="D7" s="45" t="s">
        <v>279</v>
      </c>
    </row>
    <row r="8" spans="2:4" ht="19.5" customHeight="1" x14ac:dyDescent="0.25">
      <c r="B8" s="51" t="s">
        <v>280</v>
      </c>
      <c r="C8" s="51" t="s">
        <v>281</v>
      </c>
      <c r="D8" s="51" t="s">
        <v>279</v>
      </c>
    </row>
    <row r="9" spans="2:4" ht="19.5" customHeight="1" x14ac:dyDescent="0.25">
      <c r="B9" s="45" t="s">
        <v>282</v>
      </c>
      <c r="C9" s="45" t="s">
        <v>283</v>
      </c>
      <c r="D9" s="45" t="s">
        <v>284</v>
      </c>
    </row>
    <row r="10" spans="2:4" ht="19.5" customHeight="1" x14ac:dyDescent="0.25">
      <c r="B10" s="51" t="s">
        <v>285</v>
      </c>
      <c r="C10" s="51" t="s">
        <v>286</v>
      </c>
      <c r="D10" s="51" t="s">
        <v>276</v>
      </c>
    </row>
    <row r="11" spans="2:4" ht="19.5" customHeight="1" x14ac:dyDescent="0.25">
      <c r="B11" s="45" t="s">
        <v>287</v>
      </c>
      <c r="C11" s="45" t="s">
        <v>288</v>
      </c>
      <c r="D11" s="45" t="s">
        <v>289</v>
      </c>
    </row>
    <row r="12" spans="2:4" ht="7.5" customHeight="1" x14ac:dyDescent="0.25"/>
    <row r="13" spans="2:4" ht="36" customHeight="1" x14ac:dyDescent="0.25">
      <c r="B13" s="2" t="s">
        <v>290</v>
      </c>
      <c r="C13" s="2"/>
      <c r="D13" s="2"/>
    </row>
    <row r="14" spans="2:4" ht="7.5" customHeight="1" x14ac:dyDescent="0.25"/>
    <row r="15" spans="2:4" ht="43.5" customHeight="1" x14ac:dyDescent="0.25">
      <c r="B15" s="13" t="s">
        <v>291</v>
      </c>
      <c r="C15" s="13"/>
      <c r="D15" s="13"/>
    </row>
  </sheetData>
  <mergeCells count="4">
    <mergeCell ref="B2:D2"/>
    <mergeCell ref="B3:D3"/>
    <mergeCell ref="B13:D13"/>
    <mergeCell ref="B15:D15"/>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27AE60"/>
  </sheetPr>
  <dimension ref="A1:Z262"/>
  <sheetViews>
    <sheetView topLeftCell="A43" zoomScaleNormal="100" workbookViewId="0">
      <selection sqref="A1:R3"/>
    </sheetView>
  </sheetViews>
  <sheetFormatPr defaultColWidth="8.7109375" defaultRowHeight="15" x14ac:dyDescent="0.25"/>
  <cols>
    <col min="1" max="1" width="11.85546875" customWidth="1"/>
    <col min="2" max="2" width="28" customWidth="1"/>
    <col min="3" max="3" width="22" customWidth="1"/>
    <col min="4" max="4" width="16" customWidth="1"/>
    <col min="5" max="5" width="22" customWidth="1"/>
    <col min="6" max="6" width="14" customWidth="1"/>
    <col min="7" max="7" width="12" customWidth="1"/>
    <col min="8" max="9" width="18" customWidth="1"/>
    <col min="10" max="10" width="22" customWidth="1"/>
    <col min="11" max="11" width="20" customWidth="1"/>
    <col min="12" max="15" width="18" customWidth="1"/>
    <col min="16" max="17" width="22" hidden="1" customWidth="1"/>
    <col min="18" max="18" width="55" hidden="1" customWidth="1"/>
    <col min="19" max="19" width="35.85546875" hidden="1" customWidth="1"/>
    <col min="20" max="20" width="10.42578125" hidden="1" customWidth="1"/>
    <col min="21" max="21" width="35.85546875" hidden="1" customWidth="1"/>
    <col min="22" max="23" width="13" hidden="1" customWidth="1"/>
    <col min="24" max="24" width="22" customWidth="1"/>
    <col min="25" max="25" width="14" customWidth="1"/>
    <col min="26" max="26" width="20" customWidth="1"/>
  </cols>
  <sheetData>
    <row r="1" spans="1:26" ht="30" customHeight="1" x14ac:dyDescent="0.25">
      <c r="A1" s="14" t="s">
        <v>0</v>
      </c>
      <c r="B1" s="14"/>
      <c r="C1" s="14"/>
      <c r="D1" s="14"/>
      <c r="E1" s="14"/>
      <c r="F1" s="14"/>
      <c r="G1" s="14"/>
      <c r="H1" s="14"/>
      <c r="I1" s="14"/>
      <c r="J1" s="14"/>
      <c r="K1" s="14"/>
      <c r="L1" s="14"/>
      <c r="M1" s="14"/>
      <c r="N1" s="14"/>
      <c r="O1" s="14"/>
      <c r="P1" s="14"/>
      <c r="Q1" s="14"/>
      <c r="R1" s="14"/>
    </row>
    <row r="2" spans="1:26" ht="30" customHeight="1" x14ac:dyDescent="0.25">
      <c r="A2" s="15" t="s">
        <v>1</v>
      </c>
      <c r="B2" s="15" t="s">
        <v>2</v>
      </c>
      <c r="C2" s="15" t="s">
        <v>3</v>
      </c>
      <c r="D2" s="15" t="s">
        <v>4</v>
      </c>
      <c r="E2" s="15" t="s">
        <v>5</v>
      </c>
      <c r="F2" s="15" t="s">
        <v>6</v>
      </c>
      <c r="G2" s="15" t="s">
        <v>7</v>
      </c>
      <c r="H2" s="16" t="s">
        <v>8</v>
      </c>
      <c r="I2" s="15" t="s">
        <v>9</v>
      </c>
      <c r="J2" s="15" t="s">
        <v>10</v>
      </c>
      <c r="K2" s="15" t="s">
        <v>11</v>
      </c>
      <c r="L2" s="15" t="s">
        <v>12</v>
      </c>
      <c r="M2" s="15" t="s">
        <v>13</v>
      </c>
      <c r="N2" s="15" t="s">
        <v>14</v>
      </c>
      <c r="O2" s="15" t="s">
        <v>15</v>
      </c>
      <c r="P2" s="15" t="s">
        <v>16</v>
      </c>
      <c r="Q2" s="15" t="s">
        <v>17</v>
      </c>
      <c r="R2" s="15" t="s">
        <v>18</v>
      </c>
      <c r="S2" t="s">
        <v>19</v>
      </c>
      <c r="T2" t="s">
        <v>20</v>
      </c>
      <c r="U2" t="s">
        <v>21</v>
      </c>
      <c r="V2" t="s">
        <v>22</v>
      </c>
      <c r="W2" t="s">
        <v>23</v>
      </c>
      <c r="X2" s="17" t="s">
        <v>24</v>
      </c>
      <c r="Y2" s="17" t="s">
        <v>25</v>
      </c>
      <c r="Z2" s="17" t="s">
        <v>26</v>
      </c>
    </row>
    <row r="3" spans="1:26" ht="24" customHeight="1" x14ac:dyDescent="0.25">
      <c r="A3" s="18">
        <f t="shared" ref="A3:A66" si="0">ROW()-2</f>
        <v>1</v>
      </c>
      <c r="B3" s="19" t="s">
        <v>27</v>
      </c>
      <c r="C3" s="19" t="str">
        <f>IFERROR(
  INDEX(TblCadastro[SETOR],
    MATCH(TblApuracao[[#This Row],[COLABORADOR]],TblCadastro[NOME COMPLETO],0)
  ),
  "Não cadastrado"
)</f>
        <v xml:space="preserve">Call Center </v>
      </c>
      <c r="D3" s="18" t="s">
        <v>28</v>
      </c>
      <c r="E3"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3" s="18">
        <f>IFERROR(
  INDEX(TblCadastro[JORNADA ATUAL (h/dia)],
    MATCH(TblApuracao[[#This Row],[COLABORADOR]],TblCadastro[NOME COMPLETO],0)
  ),
  ""
)</f>
        <v>8</v>
      </c>
      <c r="G3" s="18" t="str">
        <f>IFERROR(
  INDEX(TblCadastro[TRABALHA SÁB?],
    MATCH(TblApuracao[[#This Row],[COLABORADOR]],TblCadastro[NOME COMPLETO],0)
  ),
  ""
)</f>
        <v>Não</v>
      </c>
      <c r="H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3" s="18" t="s">
        <v>29</v>
      </c>
      <c r="J3" s="18" t="s">
        <v>29</v>
      </c>
      <c r="K3" s="18" t="s">
        <v>29</v>
      </c>
      <c r="L3" s="21">
        <f>TblApuracao[[#This Row],[HRS EXTRAS (h:mm)]]-TblApuracao[[#This Row],[FALTAS/ATRASOS (h:mm)]]+TblApuracao[[#This Row],[AJUSTE MANUAL (h:mm)]]</f>
        <v>0</v>
      </c>
      <c r="M3" s="21">
        <f>SUMPRODUCT((TblApuracao[COLABORADOR]=TblApuracao[[#This Row],[COLABORADOR]])*(TblApuracao[COMPETÊNCIA]&lt;=TblApuracao[[#This Row],[COMPETÊNCIA]])*TblApuracao[HRS EXTRAS (h:mm)])</f>
        <v>0</v>
      </c>
      <c r="N3" s="21">
        <f>SUMPRODUCT((TblApuracao[COLABORADOR]=TblApuracao[[#This Row],[COLABORADOR]])*(TblApuracao[COMPETÊNCIA]&lt;=TblApuracao[[#This Row],[COMPETÊNCIA]])*TblApuracao[FALTAS/ATRASOS (h:mm)])</f>
        <v>0</v>
      </c>
      <c r="O3" s="21">
        <f>TblApuracao[[#This Row],[SALDO ANT. (h:mm)]]+TblApuracao[[#This Row],[SALDO MÊS (h:mm)]]</f>
        <v>0</v>
      </c>
      <c r="P3" s="22" t="s">
        <v>30</v>
      </c>
      <c r="Q3" s="22" t="s">
        <v>31</v>
      </c>
      <c r="R3" s="23" t="s">
        <v>32</v>
      </c>
      <c r="S3" s="24" t="str">
        <f>TblApuracao[[#This Row],[COLABORADOR]]&amp;TblApuracao[[#This Row],[COMPETÊNCIA]]</f>
        <v>Amanda Curcino dos Santos2026-03</v>
      </c>
      <c r="T3" s="24">
        <f>ROW(TblApuracao[[#Headers],[COMPETÊNCIA]])</f>
        <v>2</v>
      </c>
      <c r="U3" s="24" t="str">
        <f>TblApuracao[[#This Row],[COLABORADOR]]&amp;TblApuracao[[#This Row],[COMPETÊNCIA]]</f>
        <v>Amanda Curcino dos Santos2026-03</v>
      </c>
      <c r="V3" s="24"/>
      <c r="W3" s="25"/>
    </row>
    <row r="4" spans="1:26" ht="24" customHeight="1" x14ac:dyDescent="0.25">
      <c r="A4" s="18">
        <f t="shared" si="0"/>
        <v>2</v>
      </c>
      <c r="B4" s="19" t="s">
        <v>33</v>
      </c>
      <c r="C4" s="19" t="str">
        <f>IFERROR(
  INDEX(TblCadastro[SETOR],
    MATCH(TblApuracao[[#This Row],[COLABORADOR]],TblCadastro[NOME COMPLETO],0)
  ),
  "Não cadastrado"
)</f>
        <v>Call Center</v>
      </c>
      <c r="D4" s="18" t="s">
        <v>34</v>
      </c>
      <c r="E4"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2025-07</v>
      </c>
      <c r="F4" s="18">
        <f>IFERROR(
  INDEX(TblCadastro[JORNADA ATUAL (h/dia)],
    MATCH(TblApuracao[[#This Row],[COLABORADOR]],TblCadastro[NOME COMPLETO],0)
  ),
  ""
)</f>
        <v>8</v>
      </c>
      <c r="G4" s="18" t="str">
        <f>IFERROR(
  INDEX(TblCadastro[TRABALHA SÁB?],
    MATCH(TblApuracao[[#This Row],[COLABORADOR]],TblCadastro[NOME COMPLETO],0)
  ),
  ""
)</f>
        <v>Não</v>
      </c>
      <c r="H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 s="18" t="s">
        <v>29</v>
      </c>
      <c r="J4" s="18" t="s">
        <v>29</v>
      </c>
      <c r="K4" s="18" t="s">
        <v>29</v>
      </c>
      <c r="L4" s="21">
        <f>TblApuracao[[#This Row],[HRS EXTRAS (h:mm)]]-TblApuracao[[#This Row],[FALTAS/ATRASOS (h:mm)]]+TblApuracao[[#This Row],[AJUSTE MANUAL (h:mm)]]</f>
        <v>0</v>
      </c>
      <c r="M4" s="21">
        <f>SUMPRODUCT((TblApuracao[COLABORADOR]=TblApuracao[[#This Row],[COLABORADOR]])*(TblApuracao[COMPETÊNCIA]&lt;=TblApuracao[[#This Row],[COMPETÊNCIA]])*TblApuracao[HRS EXTRAS (h:mm)])</f>
        <v>0</v>
      </c>
      <c r="N4" s="21">
        <f>SUMPRODUCT((TblApuracao[COLABORADOR]=TblApuracao[[#This Row],[COLABORADOR]])*(TblApuracao[COMPETÊNCIA]&lt;=TblApuracao[[#This Row],[COMPETÊNCIA]])*TblApuracao[FALTAS/ATRASOS (h:mm)])</f>
        <v>0</v>
      </c>
      <c r="O4" s="21">
        <f>TblApuracao[[#This Row],[SALDO ANT. (h:mm)]]+TblApuracao[[#This Row],[SALDO MÊS (h:mm)]]</f>
        <v>0</v>
      </c>
      <c r="P4" s="22" t="s">
        <v>35</v>
      </c>
      <c r="Q4" s="22" t="s">
        <v>36</v>
      </c>
      <c r="R4" s="23" t="s">
        <v>37</v>
      </c>
      <c r="S4" s="24" t="str">
        <f>TblApuracao[[#This Row],[COLABORADOR]]&amp;TblApuracao[[#This Row],[COMPETÊNCIA]]</f>
        <v>Emanuelly Ribeiro de Aguiar2025-07</v>
      </c>
      <c r="T4" s="24">
        <f>ROW(TblApuracao[[#Headers],[COMPETÊNCIA]])</f>
        <v>2</v>
      </c>
      <c r="U4" s="24" t="str">
        <f>TblApuracao[[#This Row],[COLABORADOR]]&amp;TblApuracao[[#This Row],[COMPETÊNCIA]]</f>
        <v>Emanuelly Ribeiro de Aguiar2025-07</v>
      </c>
      <c r="V4" s="24"/>
      <c r="W4" s="25"/>
    </row>
    <row r="5" spans="1:26" ht="24" customHeight="1" x14ac:dyDescent="0.25">
      <c r="A5" s="18">
        <f t="shared" si="0"/>
        <v>3</v>
      </c>
      <c r="B5" s="19" t="s">
        <v>33</v>
      </c>
      <c r="C5" s="19" t="str">
        <f>IFERROR(
  INDEX(TblCadastro[SETOR],
    MATCH(TblApuracao[[#This Row],[COLABORADOR]],TblCadastro[NOME COMPLETO],0)
  ),
  "Não cadastrado"
)</f>
        <v>Call Center</v>
      </c>
      <c r="D5" s="18" t="s">
        <v>38</v>
      </c>
      <c r="E5"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5" s="18">
        <f>IFERROR(
  INDEX(TblCadastro[JORNADA ATUAL (h/dia)],
    MATCH(TblApuracao[[#This Row],[COLABORADOR]],TblCadastro[NOME COMPLETO],0)
  ),
  ""
)</f>
        <v>8</v>
      </c>
      <c r="G5" s="18" t="str">
        <f>IFERROR(
  INDEX(TblCadastro[TRABALHA SÁB?],
    MATCH(TblApuracao[[#This Row],[COLABORADOR]],TblCadastro[NOME COMPLETO],0)
  ),
  ""
)</f>
        <v>Não</v>
      </c>
      <c r="H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 s="18" t="s">
        <v>29</v>
      </c>
      <c r="J5" s="18" t="s">
        <v>39</v>
      </c>
      <c r="K5" s="18" t="s">
        <v>29</v>
      </c>
      <c r="L5" s="21">
        <f>TblApuracao[[#This Row],[HRS EXTRAS (h:mm)]]-TblApuracao[[#This Row],[FALTAS/ATRASOS (h:mm)]]+TblApuracao[[#This Row],[AJUSTE MANUAL (h:mm)]]</f>
        <v>-0.31388888888888888</v>
      </c>
      <c r="M5" s="21">
        <f>SUMPRODUCT((TblApuracao[COLABORADOR]=TblApuracao[[#This Row],[COLABORADOR]])*(TblApuracao[COMPETÊNCIA]&lt;=TblApuracao[[#This Row],[COMPETÊNCIA]])*TblApuracao[HRS EXTRAS (h:mm)])</f>
        <v>0</v>
      </c>
      <c r="N5" s="21">
        <f>SUMPRODUCT((TblApuracao[COLABORADOR]=TblApuracao[[#This Row],[COLABORADOR]])*(TblApuracao[COMPETÊNCIA]&lt;=TblApuracao[[#This Row],[COMPETÊNCIA]])*TblApuracao[FALTAS/ATRASOS (h:mm)])</f>
        <v>0.31388888888888888</v>
      </c>
      <c r="O5" s="21">
        <f>TblApuracao[[#This Row],[SALDO ANT. (h:mm)]]+TblApuracao[[#This Row],[SALDO MÊS (h:mm)]]</f>
        <v>-0.31388888888888888</v>
      </c>
      <c r="P5" s="26" t="s">
        <v>40</v>
      </c>
      <c r="Q5" s="26" t="s">
        <v>41</v>
      </c>
      <c r="R5" s="27" t="s">
        <v>42</v>
      </c>
      <c r="S5" s="24" t="str">
        <f>TblApuracao[[#This Row],[COLABORADOR]]&amp;TblApuracao[[#This Row],[COMPETÊNCIA]]</f>
        <v>Emanuelly Ribeiro de Aguiar2025-08</v>
      </c>
      <c r="T5" s="24"/>
      <c r="U5" s="24"/>
      <c r="V5" s="24"/>
      <c r="W5" s="25">
        <f>SUMPRODUCT((TblApuracao[COLABORADOR]="Emanuelly Ribeiro de Aguiar")*(TblApuracao[COMPETÊNCIA]&lt;="2025-09")*(TblApuracao[SALDO MÊS (h:mm)]&gt;0)*TblApuracao[SALDO MÊS (h:mm)])</f>
        <v>0.6875</v>
      </c>
    </row>
    <row r="6" spans="1:26" ht="24" customHeight="1" x14ac:dyDescent="0.25">
      <c r="A6" s="18">
        <f t="shared" si="0"/>
        <v>4</v>
      </c>
      <c r="B6" s="19" t="s">
        <v>33</v>
      </c>
      <c r="C6" s="19" t="str">
        <f>IFERROR(
  INDEX(TblCadastro[SETOR],
    MATCH(TblApuracao[[#This Row],[COLABORADOR]],TblCadastro[NOME COMPLETO],0)
  ),
  "Não cadastrado"
)</f>
        <v>Call Center</v>
      </c>
      <c r="D6" s="18" t="s">
        <v>43</v>
      </c>
      <c r="E6"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6" s="18">
        <f>IFERROR(
  INDEX(TblCadastro[JORNADA ATUAL (h/dia)],
    MATCH(TblApuracao[[#This Row],[COLABORADOR]],TblCadastro[NOME COMPLETO],0)
  ),
  ""
)</f>
        <v>8</v>
      </c>
      <c r="G6" s="18" t="str">
        <f>IFERROR(
  INDEX(TblCadastro[TRABALHA SÁB?],
    MATCH(TblApuracao[[#This Row],[COLABORADOR]],TblCadastro[NOME COMPLETO],0)
  ),
  ""
)</f>
        <v>Não</v>
      </c>
      <c r="H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-0.31388888888888888</v>
      </c>
      <c r="I6" s="18" t="s">
        <v>44</v>
      </c>
      <c r="J6" s="18" t="s">
        <v>29</v>
      </c>
      <c r="K6" s="18" t="s">
        <v>29</v>
      </c>
      <c r="L6" s="21">
        <f>TblApuracao[[#This Row],[HRS EXTRAS (h:mm)]]-TblApuracao[[#This Row],[FALTAS/ATRASOS (h:mm)]]+TblApuracao[[#This Row],[AJUSTE MANUAL (h:mm)]]</f>
        <v>0.6875</v>
      </c>
      <c r="M6" s="21">
        <f>SUMPRODUCT((TblApuracao[COLABORADOR]=TblApuracao[[#This Row],[COLABORADOR]])*(TblApuracao[COMPETÊNCIA]&lt;=TblApuracao[[#This Row],[COMPETÊNCIA]])*TblApuracao[HRS EXTRAS (h:mm)])</f>
        <v>0.6875</v>
      </c>
      <c r="N6" s="21">
        <f>SUMPRODUCT((TblApuracao[COLABORADOR]=TblApuracao[[#This Row],[COLABORADOR]])*(TblApuracao[COMPETÊNCIA]&lt;=TblApuracao[[#This Row],[COMPETÊNCIA]])*TblApuracao[FALTAS/ATRASOS (h:mm)])</f>
        <v>0.31388888888888888</v>
      </c>
      <c r="O6" s="21">
        <f>TblApuracao[[#This Row],[SALDO ANT. (h:mm)]]+TblApuracao[[#This Row],[SALDO MÊS (h:mm)]]</f>
        <v>0.37361111111111112</v>
      </c>
      <c r="P6" s="28" t="s">
        <v>45</v>
      </c>
      <c r="Q6" s="28" t="s">
        <v>46</v>
      </c>
      <c r="R6" s="29" t="s">
        <v>47</v>
      </c>
      <c r="S6" s="24" t="str">
        <f>TblApuracao[[#This Row],[COLABORADOR]]&amp;TblApuracao[[#This Row],[COMPETÊNCIA]]</f>
        <v>Emanuelly Ribeiro de Aguiar2025-09</v>
      </c>
      <c r="T6" s="24"/>
      <c r="U6" s="24"/>
      <c r="V6" s="24" t="str">
        <f>INDEX(TblApuracao[COMPETÊNCIA],1)</f>
        <v>2026-03</v>
      </c>
      <c r="W6" s="25">
        <f>SUMPRODUCT((TblApuracao[COLABORADOR]="Emanuelly Ribeiro de Aguiar")*(TblApuracao[COMPETÊNCIA]&lt;="2025-09")*(TblApuracao[SALDO MÊS (h:mm)]&gt;0)*TblApuracao[SALDO MÊS (h:mm)])</f>
        <v>0.6875</v>
      </c>
    </row>
    <row r="7" spans="1:26" ht="15" customHeight="1" x14ac:dyDescent="0.25">
      <c r="A7" s="18">
        <f t="shared" si="0"/>
        <v>5</v>
      </c>
      <c r="B7" s="19" t="s">
        <v>33</v>
      </c>
      <c r="C7" s="19" t="str">
        <f>IFERROR(
  INDEX(TblCadastro[SETOR],
    MATCH(TblApuracao[[#This Row],[COLABORADOR]],TblCadastro[NOME COMPLETO],0)
  ),
  "Não cadastrado"
)</f>
        <v>Call Center</v>
      </c>
      <c r="D7" s="18" t="s">
        <v>48</v>
      </c>
      <c r="E7"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2025-10</v>
      </c>
      <c r="F7" s="18">
        <f>IFERROR(
  INDEX(TblCadastro[JORNADA ATUAL (h/dia)],
    MATCH(TblApuracao[[#This Row],[COLABORADOR]],TblCadastro[NOME COMPLETO],0)
  ),
  ""
)</f>
        <v>8</v>
      </c>
      <c r="G7" s="18" t="str">
        <f>IFERROR(
  INDEX(TblCadastro[TRABALHA SÁB?],
    MATCH(TblApuracao[[#This Row],[COLABORADOR]],TblCadastro[NOME COMPLETO],0)
  ),
  ""
)</f>
        <v>Não</v>
      </c>
      <c r="H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0.37361111111111112</v>
      </c>
      <c r="I7" s="18" t="s">
        <v>29</v>
      </c>
      <c r="J7" s="18" t="s">
        <v>29</v>
      </c>
      <c r="K7" s="18" t="s">
        <v>29</v>
      </c>
      <c r="L7" s="21">
        <f>TblApuracao[[#This Row],[HRS EXTRAS (h:mm)]]-TblApuracao[[#This Row],[FALTAS/ATRASOS (h:mm)]]+TblApuracao[[#This Row],[AJUSTE MANUAL (h:mm)]]</f>
        <v>0</v>
      </c>
      <c r="M7" s="21">
        <f>SUMPRODUCT((TblApuracao[COLABORADOR]=TblApuracao[[#This Row],[COLABORADOR]])*(TblApuracao[COMPETÊNCIA]&lt;=TblApuracao[[#This Row],[COMPETÊNCIA]])*TblApuracao[HRS EXTRAS (h:mm)])</f>
        <v>0.6875</v>
      </c>
      <c r="N7" s="21">
        <f>SUMPRODUCT((TblApuracao[COLABORADOR]=TblApuracao[[#This Row],[COLABORADOR]])*(TblApuracao[COMPETÊNCIA]&lt;=TblApuracao[[#This Row],[COMPETÊNCIA]])*TblApuracao[FALTAS/ATRASOS (h:mm)])</f>
        <v>0.31388888888888888</v>
      </c>
      <c r="O7" s="21">
        <f>TblApuracao[[#This Row],[SALDO ANT. (h:mm)]]+TblApuracao[[#This Row],[SALDO MÊS (h:mm)]]</f>
        <v>0.37361111111111112</v>
      </c>
      <c r="P7" s="22" t="s">
        <v>49</v>
      </c>
      <c r="Q7" s="22" t="s">
        <v>36</v>
      </c>
      <c r="R7" s="23" t="s">
        <v>50</v>
      </c>
      <c r="S7" s="24" t="str">
        <f>TblApuracao[[#This Row],[COLABORADOR]]&amp;TblApuracao[[#This Row],[COMPETÊNCIA]]</f>
        <v>Emanuelly Ribeiro de Aguiar2025-10</v>
      </c>
      <c r="T7" s="24">
        <f>ROW(TblApuracao[[#Headers],[COMPETÊNCIA]])</f>
        <v>2</v>
      </c>
      <c r="U7" s="24" t="str">
        <f>TblApuracao[[#This Row],[COLABORADOR]]&amp;TblApuracao[[#This Row],[COMPETÊNCIA]]</f>
        <v>Emanuelly Ribeiro de Aguiar2025-10</v>
      </c>
      <c r="V7" s="24" t="str">
        <f>INDEX(TblApuracao[COMPETÊNCIA],1)</f>
        <v>2026-03</v>
      </c>
      <c r="W7" s="25">
        <f>SUMPRODUCT((TblApuracao[COLABORADOR]="Emanuelly Ribeiro de Aguiar")*(TblApuracao[COMPETÊNCIA]&lt;="2025-09")*(TblApuracao[SALDO MÊS (h:mm)]&gt;0)*TblApuracao[SALDO MÊS (h:mm)])</f>
        <v>0.6875</v>
      </c>
    </row>
    <row r="8" spans="1:26" ht="24" customHeight="1" x14ac:dyDescent="0.25">
      <c r="A8" s="18">
        <f t="shared" si="0"/>
        <v>6</v>
      </c>
      <c r="B8" s="19" t="s">
        <v>33</v>
      </c>
      <c r="C8" s="19" t="str">
        <f>IFERROR(
  INDEX(TblCadastro[SETOR],
    MATCH(TblApuracao[[#This Row],[COLABORADOR]],TblCadastro[NOME COMPLETO],0)
  ),
  "Não cadastrado"
)</f>
        <v>Call Center</v>
      </c>
      <c r="D8" s="18" t="s">
        <v>51</v>
      </c>
      <c r="E8"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2025-11</v>
      </c>
      <c r="F8" s="18">
        <f>IFERROR(
  INDEX(TblCadastro[JORNADA ATUAL (h/dia)],
    MATCH(TblApuracao[[#This Row],[COLABORADOR]],TblCadastro[NOME COMPLETO],0)
  ),
  ""
)</f>
        <v>8</v>
      </c>
      <c r="G8" s="18" t="str">
        <f>IFERROR(
  INDEX(TblCadastro[TRABALHA SÁB?],
    MATCH(TblApuracao[[#This Row],[COLABORADOR]],TblCadastro[NOME COMPLETO],0)
  ),
  ""
)</f>
        <v>Não</v>
      </c>
      <c r="H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0.37361111111111112</v>
      </c>
      <c r="I8" s="18" t="s">
        <v>52</v>
      </c>
      <c r="J8" s="18" t="s">
        <v>53</v>
      </c>
      <c r="K8" s="18" t="s">
        <v>29</v>
      </c>
      <c r="L8" s="21">
        <f>TblApuracao[[#This Row],[HRS EXTRAS (h:mm)]]-TblApuracao[[#This Row],[FALTAS/ATRASOS (h:mm)]]+TblApuracao[[#This Row],[AJUSTE MANUAL (h:mm)]]</f>
        <v>0.20138888888888884</v>
      </c>
      <c r="M8" s="21">
        <f>SUMPRODUCT((TblApuracao[COLABORADOR]=TblApuracao[[#This Row],[COLABORADOR]])*(TblApuracao[COMPETÊNCIA]&lt;=TblApuracao[[#This Row],[COMPETÊNCIA]])*TblApuracao[HRS EXTRAS (h:mm)])</f>
        <v>1.4402777777777778</v>
      </c>
      <c r="N8" s="21">
        <f>SUMPRODUCT((TblApuracao[COLABORADOR]=TblApuracao[[#This Row],[COLABORADOR]])*(TblApuracao[COMPETÊNCIA]&lt;=TblApuracao[[#This Row],[COMPETÊNCIA]])*TblApuracao[FALTAS/ATRASOS (h:mm)])</f>
        <v>0.86527777777777781</v>
      </c>
      <c r="O8" s="21">
        <f>TblApuracao[[#This Row],[SALDO ANT. (h:mm)]]+TblApuracao[[#This Row],[SALDO MÊS (h:mm)]]</f>
        <v>0.57499999999999996</v>
      </c>
      <c r="P8" s="26" t="s">
        <v>54</v>
      </c>
      <c r="Q8" s="26" t="s">
        <v>55</v>
      </c>
      <c r="R8" s="27" t="s">
        <v>56</v>
      </c>
      <c r="S8" s="24" t="str">
        <f>TblApuracao[[#This Row],[COLABORADOR]]&amp;TblApuracao[[#This Row],[COMPETÊNCIA]]</f>
        <v>Emanuelly Ribeiro de Aguiar2025-11</v>
      </c>
      <c r="T8" s="24">
        <f>ROW(TblApuracao[[#Headers],[COMPETÊNCIA]])</f>
        <v>2</v>
      </c>
      <c r="U8" s="24" t="str">
        <f>TblApuracao[[#This Row],[COLABORADOR]]&amp;TblApuracao[[#This Row],[COMPETÊNCIA]]</f>
        <v>Emanuelly Ribeiro de Aguiar2025-11</v>
      </c>
      <c r="V8" s="24" t="str">
        <f>INDEX(TblApuracao[COMPETÊNCIA],1)</f>
        <v>2026-03</v>
      </c>
      <c r="W8" s="25">
        <f>SUMPRODUCT((TblApuracao[COLABORADOR]="Emanuelly Ribeiro de Aguiar")*(TblApuracao[COMPETÊNCIA]&lt;="2025-09")*(TblApuracao[SALDO MÊS (h:mm)]&gt;0)*TblApuracao[SALDO MÊS (h:mm)])</f>
        <v>0.6875</v>
      </c>
    </row>
    <row r="9" spans="1:26" ht="36" customHeight="1" x14ac:dyDescent="0.25">
      <c r="A9" s="18">
        <f t="shared" si="0"/>
        <v>7</v>
      </c>
      <c r="B9" s="19" t="s">
        <v>33</v>
      </c>
      <c r="C9" s="19" t="str">
        <f>IFERROR(
  INDEX(TblCadastro[SETOR],
    MATCH(TblApuracao[[#This Row],[COLABORADOR]],TblCadastro[NOME COMPLETO],0)
  ),
  "Não cadastrado"
)</f>
        <v>Call Center</v>
      </c>
      <c r="D9" s="18" t="s">
        <v>57</v>
      </c>
      <c r="E9"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2025-12</v>
      </c>
      <c r="F9" s="18">
        <f>IFERROR(
  INDEX(TblCadastro[JORNADA ATUAL (h/dia)],
    MATCH(TblApuracao[[#This Row],[COLABORADOR]],TblCadastro[NOME COMPLETO],0)
  ),
  ""
)</f>
        <v>8</v>
      </c>
      <c r="G9" s="18" t="str">
        <f>IFERROR(
  INDEX(TblCadastro[TRABALHA SÁB?],
    MATCH(TblApuracao[[#This Row],[COLABORADOR]],TblCadastro[NOME COMPLETO],0)
  ),
  ""
)</f>
        <v>Não</v>
      </c>
      <c r="H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9" s="18" t="s">
        <v>29</v>
      </c>
      <c r="J9" s="18" t="s">
        <v>29</v>
      </c>
      <c r="K9" s="18" t="s">
        <v>29</v>
      </c>
      <c r="L9" s="21">
        <f>TblApuracao[[#This Row],[HRS EXTRAS (h:mm)]]-TblApuracao[[#This Row],[FALTAS/ATRASOS (h:mm)]]+TblApuracao[[#This Row],[AJUSTE MANUAL (h:mm)]]</f>
        <v>0</v>
      </c>
      <c r="M9" s="21">
        <f>SUMPRODUCT((TblApuracao[COLABORADOR]=TblApuracao[[#This Row],[COLABORADOR]])*(TblApuracao[COMPETÊNCIA]&lt;=TblApuracao[[#This Row],[COMPETÊNCIA]])*TblApuracao[HRS EXTRAS (h:mm)])</f>
        <v>1.4402777777777778</v>
      </c>
      <c r="N9" s="21">
        <f>SUMPRODUCT((TblApuracao[COLABORADOR]=TblApuracao[[#This Row],[COLABORADOR]])*(TblApuracao[COMPETÊNCIA]&lt;=TblApuracao[[#This Row],[COMPETÊNCIA]])*TblApuracao[FALTAS/ATRASOS (h:mm)])</f>
        <v>0.86527777777777781</v>
      </c>
      <c r="O9" s="21">
        <f>TblApuracao[[#This Row],[SALDO ANT. (h:mm)]]+TblApuracao[[#This Row],[SALDO MÊS (h:mm)]]</f>
        <v>0.57499999999999996</v>
      </c>
      <c r="P9" s="22" t="s">
        <v>58</v>
      </c>
      <c r="Q9" s="22" t="s">
        <v>36</v>
      </c>
      <c r="R9" s="23" t="s">
        <v>59</v>
      </c>
      <c r="S9" s="24" t="str">
        <f>TblApuracao[[#This Row],[COLABORADOR]]&amp;TblApuracao[[#This Row],[COMPETÊNCIA]]</f>
        <v>Emanuelly Ribeiro de Aguiar2025-12</v>
      </c>
      <c r="T9" s="24">
        <f>ROW(TblApuracao[[#Headers],[COMPETÊNCIA]])</f>
        <v>2</v>
      </c>
      <c r="U9" s="24" t="str">
        <f>TblApuracao[[#This Row],[COLABORADOR]]&amp;TblApuracao[[#This Row],[COMPETÊNCIA]]</f>
        <v>Emanuelly Ribeiro de Aguiar2025-12</v>
      </c>
      <c r="V9" s="24" t="str">
        <f>INDEX(TblApuracao[COMPETÊNCIA],1)</f>
        <v>2026-03</v>
      </c>
      <c r="W9" s="25">
        <f>SUMPRODUCT((TblApuracao[COLABORADOR]="Emanuelly Ribeiro de Aguiar")*(TblApuracao[COMPETÊNCIA]&lt;="2025-09")*(TblApuracao[SALDO MÊS (h:mm)]&gt;0)*TblApuracao[SALDO MÊS (h:mm)])</f>
        <v>0.6875</v>
      </c>
    </row>
    <row r="10" spans="1:26" ht="24" customHeight="1" x14ac:dyDescent="0.25">
      <c r="A10" s="18">
        <f t="shared" si="0"/>
        <v>8</v>
      </c>
      <c r="B10" s="19" t="s">
        <v>33</v>
      </c>
      <c r="C10" s="19" t="str">
        <f>IFERROR(
  INDEX(TblCadastro[SETOR],
    MATCH(TblApuracao[[#This Row],[COLABORADOR]],TblCadastro[NOME COMPLETO],0)
  ),
  "Não cadastrado"
)</f>
        <v>Call Center</v>
      </c>
      <c r="D10" s="18" t="s">
        <v>60</v>
      </c>
      <c r="E10"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2026-01</v>
      </c>
      <c r="F10" s="18">
        <f>IFERROR(
  INDEX(TblCadastro[JORNADA ATUAL (h/dia)],
    MATCH(TblApuracao[[#This Row],[COLABORADOR]],TblCadastro[NOME COMPLETO],0)
  ),
  ""
)</f>
        <v>8</v>
      </c>
      <c r="G10" s="18" t="str">
        <f>IFERROR(
  INDEX(TblCadastro[TRABALHA SÁB?],
    MATCH(TblApuracao[[#This Row],[COLABORADOR]],TblCadastro[NOME COMPLETO],0)
  ),
  ""
)</f>
        <v>Não</v>
      </c>
      <c r="H1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0" s="18" t="s">
        <v>29</v>
      </c>
      <c r="J10" s="18" t="s">
        <v>29</v>
      </c>
      <c r="K10" s="18" t="s">
        <v>29</v>
      </c>
      <c r="L10" s="21">
        <f>TblApuracao[[#This Row],[HRS EXTRAS (h:mm)]]-TblApuracao[[#This Row],[FALTAS/ATRASOS (h:mm)]]+TblApuracao[[#This Row],[AJUSTE MANUAL (h:mm)]]</f>
        <v>0</v>
      </c>
      <c r="M10" s="21">
        <f>SUMPRODUCT((TblApuracao[COLABORADOR]=TblApuracao[[#This Row],[COLABORADOR]])*(TblApuracao[COMPETÊNCIA]&lt;=TblApuracao[[#This Row],[COMPETÊNCIA]])*TblApuracao[HRS EXTRAS (h:mm)])</f>
        <v>1.4402777777777778</v>
      </c>
      <c r="N10" s="21">
        <f>SUMPRODUCT((TblApuracao[COLABORADOR]=TblApuracao[[#This Row],[COLABORADOR]])*(TblApuracao[COMPETÊNCIA]&lt;=TblApuracao[[#This Row],[COMPETÊNCIA]])*TblApuracao[FALTAS/ATRASOS (h:mm)])</f>
        <v>0.86527777777777781</v>
      </c>
      <c r="O10" s="21">
        <f>TblApuracao[[#This Row],[SALDO ANT. (h:mm)]]+TblApuracao[[#This Row],[SALDO MÊS (h:mm)]]</f>
        <v>0.57499999999999996</v>
      </c>
      <c r="P10" s="22" t="s">
        <v>61</v>
      </c>
      <c r="Q10" s="22" t="s">
        <v>36</v>
      </c>
      <c r="R10" s="23" t="s">
        <v>62</v>
      </c>
      <c r="S10" s="24" t="str">
        <f>TblApuracao[[#This Row],[COLABORADOR]]&amp;TblApuracao[[#This Row],[COMPETÊNCIA]]</f>
        <v>Emanuelly Ribeiro de Aguiar2026-01</v>
      </c>
      <c r="T10" s="24"/>
      <c r="U10" s="24" t="str">
        <f>TblApuracao[[#This Row],[COLABORADOR]]&amp;TblApuracao[[#This Row],[COMPETÊNCIA]]</f>
        <v>Emanuelly Ribeiro de Aguiar2026-01</v>
      </c>
      <c r="V10" s="24" t="str">
        <f>INDEX(TblApuracao[COMPETÊNCIA],1)</f>
        <v>2026-03</v>
      </c>
      <c r="W10" s="25">
        <f>SUMPRODUCT((TblApuracao[COLABORADOR]="Emanuelly Ribeiro de Aguiar")*(TblApuracao[COMPETÊNCIA]&lt;="2025-09")*(TblApuracao[SALDO MÊS (h:mm)]&gt;0)*TblApuracao[SALDO MÊS (h:mm)])</f>
        <v>0.6875</v>
      </c>
    </row>
    <row r="11" spans="1:26" ht="15" customHeight="1" x14ac:dyDescent="0.25">
      <c r="A11" s="18">
        <f t="shared" si="0"/>
        <v>9</v>
      </c>
      <c r="B11" s="19" t="s">
        <v>33</v>
      </c>
      <c r="C11" s="19" t="str">
        <f>IFERROR(
  INDEX(TblCadastro[SETOR],
    MATCH(TblApuracao[[#This Row],[COLABORADOR]],TblCadastro[NOME COMPLETO],0)
  ),
  "Não cadastrado"
)</f>
        <v>Call Center</v>
      </c>
      <c r="D11" s="18" t="s">
        <v>63</v>
      </c>
      <c r="E11"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2026-02</v>
      </c>
      <c r="F11" s="18">
        <f>IFERROR(
  INDEX(TblCadastro[JORNADA ATUAL (h/dia)],
    MATCH(TblApuracao[[#This Row],[COLABORADOR]],TblCadastro[NOME COMPLETO],0)
  ),
  ""
)</f>
        <v>8</v>
      </c>
      <c r="G11" s="18" t="str">
        <f>IFERROR(
  INDEX(TblCadastro[TRABALHA SÁB?],
    MATCH(TblApuracao[[#This Row],[COLABORADOR]],TblCadastro[NOME COMPLETO],0)
  ),
  ""
)</f>
        <v>Não</v>
      </c>
      <c r="H1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1" s="18" t="s">
        <v>29</v>
      </c>
      <c r="J11" s="18" t="s">
        <v>29</v>
      </c>
      <c r="K11" s="18" t="s">
        <v>29</v>
      </c>
      <c r="L11" s="21">
        <f>TblApuracao[[#This Row],[HRS EXTRAS (h:mm)]]-TblApuracao[[#This Row],[FALTAS/ATRASOS (h:mm)]]+TblApuracao[[#This Row],[AJUSTE MANUAL (h:mm)]]</f>
        <v>0</v>
      </c>
      <c r="M11" s="21">
        <f>SUMPRODUCT((TblApuracao[COLABORADOR]=TblApuracao[[#This Row],[COLABORADOR]])*(TblApuracao[COMPETÊNCIA]&lt;=TblApuracao[[#This Row],[COMPETÊNCIA]])*TblApuracao[HRS EXTRAS (h:mm)])</f>
        <v>1.4402777777777778</v>
      </c>
      <c r="N11" s="21">
        <f>SUMPRODUCT((TblApuracao[COLABORADOR]=TblApuracao[[#This Row],[COLABORADOR]])*(TblApuracao[COMPETÊNCIA]&lt;=TblApuracao[[#This Row],[COMPETÊNCIA]])*TblApuracao[FALTAS/ATRASOS (h:mm)])</f>
        <v>0.86527777777777781</v>
      </c>
      <c r="O11" s="21">
        <f>TblApuracao[[#This Row],[SALDO ANT. (h:mm)]]+TblApuracao[[#This Row],[SALDO MÊS (h:mm)]]</f>
        <v>0.57499999999999996</v>
      </c>
      <c r="P11" s="22" t="s">
        <v>64</v>
      </c>
      <c r="Q11" s="22" t="s">
        <v>36</v>
      </c>
      <c r="R11" s="23" t="s">
        <v>65</v>
      </c>
      <c r="S11" s="24" t="str">
        <f>TblApuracao[[#This Row],[COLABORADOR]]&amp;TblApuracao[[#This Row],[COMPETÊNCIA]]</f>
        <v>Emanuelly Ribeiro de Aguiar2026-02</v>
      </c>
      <c r="T11" s="24">
        <f>ROW(TblApuracao[[#Headers],[COMPETÊNCIA]])</f>
        <v>2</v>
      </c>
      <c r="U11" s="24" t="str">
        <f>TblApuracao[[#This Row],[COLABORADOR]]&amp;TblApuracao[[#This Row],[COMPETÊNCIA]]</f>
        <v>Emanuelly Ribeiro de Aguiar2026-02</v>
      </c>
      <c r="V11" s="24" t="str">
        <f>INDEX(TblApuracao[COMPETÊNCIA],1)</f>
        <v>2026-03</v>
      </c>
      <c r="W11" s="25">
        <f>SUMPRODUCT((TblApuracao[COLABORADOR]="Emanuelly Ribeiro de Aguiar")*(TblApuracao[COMPETÊNCIA]&lt;="2025-09")*(TblApuracao[SALDO MÊS (h:mm)]&gt;0)*TblApuracao[SALDO MÊS (h:mm)])</f>
        <v>0.6875</v>
      </c>
    </row>
    <row r="12" spans="1:26" ht="15" customHeight="1" x14ac:dyDescent="0.25">
      <c r="A12" s="18">
        <f t="shared" si="0"/>
        <v>10</v>
      </c>
      <c r="B12" s="19" t="s">
        <v>33</v>
      </c>
      <c r="C12" s="19" t="str">
        <f>IFERROR(
  INDEX(TblCadastro[SETOR],
    MATCH(TblApuracao[[#This Row],[COLABORADOR]],TblCadastro[NOME COMPLETO],0)
  ),
  "Não cadastrado"
)</f>
        <v>Call Center</v>
      </c>
      <c r="D12" s="18" t="s">
        <v>28</v>
      </c>
      <c r="E12"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12" s="18">
        <f>IFERROR(
  INDEX(TblCadastro[JORNADA ATUAL (h/dia)],
    MATCH(TblApuracao[[#This Row],[COLABORADOR]],TblCadastro[NOME COMPLETO],0)
  ),
  ""
)</f>
        <v>8</v>
      </c>
      <c r="G12" s="18" t="str">
        <f>IFERROR(
  INDEX(TblCadastro[TRABALHA SÁB?],
    MATCH(TblApuracao[[#This Row],[COLABORADOR]],TblCadastro[NOME COMPLETO],0)
  ),
  ""
)</f>
        <v>Não</v>
      </c>
      <c r="H1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2" s="18" t="s">
        <v>29</v>
      </c>
      <c r="J12" s="18" t="s">
        <v>29</v>
      </c>
      <c r="K12" s="18" t="s">
        <v>29</v>
      </c>
      <c r="L12" s="21">
        <f>TblApuracao[[#This Row],[HRS EXTRAS (h:mm)]]-TblApuracao[[#This Row],[FALTAS/ATRASOS (h:mm)]]+TblApuracao[[#This Row],[AJUSTE MANUAL (h:mm)]]</f>
        <v>0</v>
      </c>
      <c r="M12" s="21">
        <f>SUMPRODUCT((TblApuracao[COLABORADOR]=TblApuracao[[#This Row],[COLABORADOR]])*(TblApuracao[COMPETÊNCIA]&lt;=TblApuracao[[#This Row],[COMPETÊNCIA]])*TblApuracao[HRS EXTRAS (h:mm)])</f>
        <v>1.4402777777777778</v>
      </c>
      <c r="N12" s="21">
        <f>SUMPRODUCT((TblApuracao[COLABORADOR]=TblApuracao[[#This Row],[COLABORADOR]])*(TblApuracao[COMPETÊNCIA]&lt;=TblApuracao[[#This Row],[COMPETÊNCIA]])*TblApuracao[FALTAS/ATRASOS (h:mm)])</f>
        <v>0.86527777777777781</v>
      </c>
      <c r="O12" s="21">
        <f>TblApuracao[[#This Row],[SALDO ANT. (h:mm)]]+TblApuracao[[#This Row],[SALDO MÊS (h:mm)]]</f>
        <v>0.57499999999999996</v>
      </c>
      <c r="P12" s="22" t="s">
        <v>66</v>
      </c>
      <c r="Q12" s="22" t="s">
        <v>36</v>
      </c>
      <c r="R12" s="23" t="s">
        <v>65</v>
      </c>
      <c r="S12" s="24" t="str">
        <f>TblApuracao[[#This Row],[COLABORADOR]]&amp;TblApuracao[[#This Row],[COMPETÊNCIA]]</f>
        <v>Emanuelly Ribeiro de Aguiar2026-03</v>
      </c>
      <c r="T12" s="24">
        <f>ROW(TblApuracao[[#Headers],[COMPETÊNCIA]])</f>
        <v>2</v>
      </c>
      <c r="U12" s="24" t="str">
        <f>TblApuracao[[#This Row],[COLABORADOR]]&amp;TblApuracao[[#This Row],[COMPETÊNCIA]]</f>
        <v>Emanuelly Ribeiro de Aguiar2026-03</v>
      </c>
      <c r="V12" s="24" t="str">
        <f>INDEX(TblApuracao[COMPETÊNCIA],1)</f>
        <v>2026-03</v>
      </c>
      <c r="W12" s="25">
        <f>SUMPRODUCT((TblApuracao[COLABORADOR]="Emanuelly Ribeiro de Aguiar")*(TblApuracao[COMPETÊNCIA]&lt;="2025-09")*(TblApuracao[SALDO MÊS (h:mm)]&gt;0)*TblApuracao[SALDO MÊS (h:mm)])</f>
        <v>0.6875</v>
      </c>
    </row>
    <row r="13" spans="1:26" ht="15" customHeight="1" x14ac:dyDescent="0.25">
      <c r="A13" s="18">
        <f t="shared" si="0"/>
        <v>11</v>
      </c>
      <c r="B13" s="19" t="s">
        <v>33</v>
      </c>
      <c r="C13" s="19" t="str">
        <f>IFERROR(
  INDEX(TblCadastro[SETOR],
    MATCH(TblApuracao[[#This Row],[COLABORADOR]],TblCadastro[NOME COMPLETO],0)
  ),
  "Não cadastrado"
)</f>
        <v>Call Center</v>
      </c>
      <c r="D13" s="18" t="s">
        <v>67</v>
      </c>
      <c r="E13"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2026-04</v>
      </c>
      <c r="F13" s="18">
        <f>IFERROR(
  INDEX(TblCadastro[JORNADA ATUAL (h/dia)],
    MATCH(TblApuracao[[#This Row],[COLABORADOR]],TblCadastro[NOME COMPLETO],0)
  ),
  ""
)</f>
        <v>8</v>
      </c>
      <c r="G13" s="18" t="str">
        <f>IFERROR(
  INDEX(TblCadastro[TRABALHA SÁB?],
    MATCH(TblApuracao[[#This Row],[COLABORADOR]],TblCadastro[NOME COMPLETO],0)
  ),
  ""
)</f>
        <v>Não</v>
      </c>
      <c r="H1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3" s="18" t="s">
        <v>29</v>
      </c>
      <c r="J13" s="18" t="s">
        <v>29</v>
      </c>
      <c r="K13" s="18" t="s">
        <v>29</v>
      </c>
      <c r="L13" s="21">
        <f>TblApuracao[[#This Row],[HRS EXTRAS (h:mm)]]-TblApuracao[[#This Row],[FALTAS/ATRASOS (h:mm)]]+TblApuracao[[#This Row],[AJUSTE MANUAL (h:mm)]]</f>
        <v>0</v>
      </c>
      <c r="M13" s="21">
        <f>SUMPRODUCT((TblApuracao[COLABORADOR]=TblApuracao[[#This Row],[COLABORADOR]])*(TblApuracao[COMPETÊNCIA]&lt;=TblApuracao[[#This Row],[COMPETÊNCIA]])*TblApuracao[HRS EXTRAS (h:mm)])</f>
        <v>1.4402777777777778</v>
      </c>
      <c r="N13" s="21">
        <f>SUMPRODUCT((TblApuracao[COLABORADOR]=TblApuracao[[#This Row],[COLABORADOR]])*(TblApuracao[COMPETÊNCIA]&lt;=TblApuracao[[#This Row],[COMPETÊNCIA]])*TblApuracao[FALTAS/ATRASOS (h:mm)])</f>
        <v>0.86527777777777781</v>
      </c>
      <c r="O13" s="21">
        <f>TblApuracao[[#This Row],[SALDO ANT. (h:mm)]]+TblApuracao[[#This Row],[SALDO MÊS (h:mm)]]</f>
        <v>0.57499999999999996</v>
      </c>
      <c r="P13" s="22" t="s">
        <v>68</v>
      </c>
      <c r="Q13" s="22" t="s">
        <v>36</v>
      </c>
      <c r="R13" s="23" t="s">
        <v>65</v>
      </c>
      <c r="S13" s="24" t="str">
        <f>TblApuracao[[#This Row],[COLABORADOR]]&amp;TblApuracao[[#This Row],[COMPETÊNCIA]]</f>
        <v>Emanuelly Ribeiro de Aguiar2026-04</v>
      </c>
      <c r="T13" s="24">
        <f>ROW(TblApuracao[[#Headers],[COMPETÊNCIA]])</f>
        <v>2</v>
      </c>
      <c r="U13" s="24" t="str">
        <f>TblApuracao[[#This Row],[COLABORADOR]]&amp;TblApuracao[[#This Row],[COMPETÊNCIA]]</f>
        <v>Emanuelly Ribeiro de Aguiar2026-04</v>
      </c>
      <c r="V13" s="24" t="str">
        <f>INDEX(TblApuracao[COMPETÊNCIA],1)</f>
        <v>2026-03</v>
      </c>
      <c r="W13" s="25">
        <f>SUMPRODUCT((TblApuracao[COLABORADOR]="Emanuelly Ribeiro de Aguiar")*(TblApuracao[COMPETÊNCIA]&lt;="2025-09")*(TblApuracao[SALDO MÊS (h:mm)]&gt;0)*TblApuracao[SALDO MÊS (h:mm)])</f>
        <v>0.6875</v>
      </c>
    </row>
    <row r="14" spans="1:26" ht="24" customHeight="1" x14ac:dyDescent="0.25">
      <c r="A14" s="18">
        <f t="shared" si="0"/>
        <v>12</v>
      </c>
      <c r="B14" s="19" t="s">
        <v>69</v>
      </c>
      <c r="C14" s="19" t="str">
        <f>IFERROR(
  INDEX(TblCadastro[SETOR],
    MATCH(TblApuracao[[#This Row],[COLABORADOR]],TblCadastro[NOME COMPLETO],0)
  ),
  "Não cadastrado"
)</f>
        <v>Call Center</v>
      </c>
      <c r="D14" s="18" t="s">
        <v>38</v>
      </c>
      <c r="E14"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14" s="18">
        <f>IFERROR(
  INDEX(TblCadastro[JORNADA ATUAL (h/dia)],
    MATCH(TblApuracao[[#This Row],[COLABORADOR]],TblCadastro[NOME COMPLETO],0)
  ),
  ""
)</f>
        <v>8</v>
      </c>
      <c r="G14" s="18" t="str">
        <f>IFERROR(
  INDEX(TblCadastro[TRABALHA SÁB?],
    MATCH(TblApuracao[[#This Row],[COLABORADOR]],TblCadastro[NOME COMPLETO],0)
  ),
  ""
)</f>
        <v>Não</v>
      </c>
      <c r="H1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 s="18" t="s">
        <v>70</v>
      </c>
      <c r="J14" s="18" t="s">
        <v>29</v>
      </c>
      <c r="K14" s="18" t="s">
        <v>29</v>
      </c>
      <c r="L14" s="21">
        <f>TblApuracao[[#This Row],[HRS EXTRAS (h:mm)]]-TblApuracao[[#This Row],[FALTAS/ATRASOS (h:mm)]]+TblApuracao[[#This Row],[AJUSTE MANUAL (h:mm)]]</f>
        <v>1.0208333333333333</v>
      </c>
      <c r="M14" s="21">
        <f>SUMPRODUCT((TblApuracao[COLABORADOR]=TblApuracao[[#This Row],[COLABORADOR]])*(TblApuracao[COMPETÊNCIA]&lt;=TblApuracao[[#This Row],[COMPETÊNCIA]])*TblApuracao[HRS EXTRAS (h:mm)])</f>
        <v>1.0208333333333333</v>
      </c>
      <c r="N14" s="21">
        <f>SUMPRODUCT((TblApuracao[COLABORADOR]=TblApuracao[[#This Row],[COLABORADOR]])*(TblApuracao[COMPETÊNCIA]&lt;=TblApuracao[[#This Row],[COMPETÊNCIA]])*TblApuracao[FALTAS/ATRASOS (h:mm)])</f>
        <v>0</v>
      </c>
      <c r="O14" s="21">
        <f>TblApuracao[[#This Row],[SALDO ANT. (h:mm)]]+TblApuracao[[#This Row],[SALDO MÊS (h:mm)]]</f>
        <v>1.0208333333333333</v>
      </c>
      <c r="P14" s="26" t="s">
        <v>71</v>
      </c>
      <c r="Q14" s="26" t="s">
        <v>41</v>
      </c>
      <c r="R14" s="27" t="s">
        <v>72</v>
      </c>
      <c r="S14" s="24" t="str">
        <f>TblApuracao[[#This Row],[COLABORADOR]]&amp;TblApuracao[[#This Row],[COMPETÊNCIA]]</f>
        <v>Geovana Rodrigues Oliveira2025-08</v>
      </c>
      <c r="T14" s="24">
        <f>ROW(TblApuracao[[#Headers],[COMPETÊNCIA]])</f>
        <v>2</v>
      </c>
      <c r="U14" s="24" t="str">
        <f>TblApuracao[[#This Row],[COLABORADOR]]&amp;TblApuracao[[#This Row],[COMPETÊNCIA]]</f>
        <v>Geovana Rodrigues Oliveira2025-08</v>
      </c>
      <c r="V14" s="24" t="str">
        <f>INDEX(TblApuracao[COMPETÊNCIA],1)</f>
        <v>2026-03</v>
      </c>
      <c r="W14" s="25">
        <f>SUMPRODUCT((TblApuracao[COLABORADOR]="Emanuelly Ribeiro de Aguiar")*(TblApuracao[COMPETÊNCIA]&lt;="2025-09")*(TblApuracao[SALDO MÊS (h:mm)]&gt;0)*TblApuracao[SALDO MÊS (h:mm)])</f>
        <v>0.6875</v>
      </c>
    </row>
    <row r="15" spans="1:26" ht="24" customHeight="1" x14ac:dyDescent="0.25">
      <c r="A15" s="18">
        <f t="shared" si="0"/>
        <v>13</v>
      </c>
      <c r="B15" s="19" t="s">
        <v>69</v>
      </c>
      <c r="C15" s="19" t="str">
        <f>IFERROR(
  INDEX(TblCadastro[SETOR],
    MATCH(TblApuracao[[#This Row],[COLABORADOR]],TblCadastro[NOME COMPLETO],0)
  ),
  "Não cadastrado"
)</f>
        <v>Call Center</v>
      </c>
      <c r="D15" s="18" t="s">
        <v>43</v>
      </c>
      <c r="E15"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15" s="18">
        <f>IFERROR(
  INDEX(TblCadastro[JORNADA ATUAL (h/dia)],
    MATCH(TblApuracao[[#This Row],[COLABORADOR]],TblCadastro[NOME COMPLETO],0)
  ),
  ""
)</f>
        <v>8</v>
      </c>
      <c r="G15" s="18" t="str">
        <f>IFERROR(
  INDEX(TblCadastro[TRABALHA SÁB?],
    MATCH(TblApuracao[[#This Row],[COLABORADOR]],TblCadastro[NOME COMPLETO],0)
  ),
  ""
)</f>
        <v>Não</v>
      </c>
      <c r="H1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1.0208333333333333</v>
      </c>
      <c r="I15" s="18" t="s">
        <v>73</v>
      </c>
      <c r="J15" s="18" t="s">
        <v>29</v>
      </c>
      <c r="K15" s="18" t="s">
        <v>29</v>
      </c>
      <c r="L15" s="21">
        <f>TblApuracao[[#This Row],[HRS EXTRAS (h:mm)]]-TblApuracao[[#This Row],[FALTAS/ATRASOS (h:mm)]]+TblApuracao[[#This Row],[AJUSTE MANUAL (h:mm)]]</f>
        <v>0.40972222222222221</v>
      </c>
      <c r="M15" s="21">
        <f>SUMPRODUCT((TblApuracao[COLABORADOR]=TblApuracao[[#This Row],[COLABORADOR]])*(TblApuracao[COMPETÊNCIA]&lt;=TblApuracao[[#This Row],[COMPETÊNCIA]])*TblApuracao[HRS EXTRAS (h:mm)])</f>
        <v>1.4305555555555554</v>
      </c>
      <c r="N15" s="21">
        <f>SUMPRODUCT((TblApuracao[COLABORADOR]=TblApuracao[[#This Row],[COLABORADOR]])*(TblApuracao[COMPETÊNCIA]&lt;=TblApuracao[[#This Row],[COMPETÊNCIA]])*TblApuracao[FALTAS/ATRASOS (h:mm)])</f>
        <v>0</v>
      </c>
      <c r="O15" s="21">
        <f>TblApuracao[[#This Row],[SALDO ANT. (h:mm)]]+TblApuracao[[#This Row],[SALDO MÊS (h:mm)]]</f>
        <v>1.4305555555555554</v>
      </c>
      <c r="P15" s="26" t="s">
        <v>74</v>
      </c>
      <c r="Q15" s="26" t="s">
        <v>41</v>
      </c>
      <c r="R15" s="27" t="s">
        <v>75</v>
      </c>
      <c r="S15" s="24" t="str">
        <f>TblApuracao[[#This Row],[COLABORADOR]]&amp;TblApuracao[[#This Row],[COMPETÊNCIA]]</f>
        <v>Geovana Rodrigues Oliveira2025-09</v>
      </c>
      <c r="T15" s="24">
        <f>ROW(TblApuracao[[#Headers],[COMPETÊNCIA]])</f>
        <v>2</v>
      </c>
      <c r="U15" s="24" t="str">
        <f>TblApuracao[[#This Row],[COLABORADOR]]&amp;TblApuracao[[#This Row],[COMPETÊNCIA]]</f>
        <v>Geovana Rodrigues Oliveira2025-09</v>
      </c>
      <c r="V15" s="24" t="str">
        <f>INDEX(TblApuracao[COMPETÊNCIA],1)</f>
        <v>2026-03</v>
      </c>
      <c r="W15" s="25">
        <f>SUMPRODUCT((TblApuracao[COLABORADOR]="Emanuelly Ribeiro de Aguiar")*(TblApuracao[COMPETÊNCIA]&lt;="2025-09")*(TblApuracao[SALDO MÊS (h:mm)]&gt;0)*TblApuracao[SALDO MÊS (h:mm)])</f>
        <v>0.6875</v>
      </c>
    </row>
    <row r="16" spans="1:26" ht="36" customHeight="1" x14ac:dyDescent="0.25">
      <c r="A16" s="18">
        <f t="shared" si="0"/>
        <v>14</v>
      </c>
      <c r="B16" s="19" t="s">
        <v>69</v>
      </c>
      <c r="C16" s="19" t="str">
        <f>IFERROR(
  INDEX(TblCadastro[SETOR],
    MATCH(TblApuracao[[#This Row],[COLABORADOR]],TblCadastro[NOME COMPLETO],0)
  ),
  "Não cadastrado"
)</f>
        <v>Call Center</v>
      </c>
      <c r="D16" s="18" t="s">
        <v>76</v>
      </c>
      <c r="E16"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2026-04/05</v>
      </c>
      <c r="F16" s="18">
        <f>IFERROR(
  INDEX(TblCadastro[JORNADA ATUAL (h/dia)],
    MATCH(TblApuracao[[#This Row],[COLABORADOR]],TblCadastro[NOME COMPLETO],0)
  ),
  ""
)</f>
        <v>8</v>
      </c>
      <c r="G16" s="18" t="str">
        <f>IFERROR(
  INDEX(TblCadastro[TRABALHA SÁB?],
    MATCH(TblApuracao[[#This Row],[COLABORADOR]],TblCadastro[NOME COMPLETO],0)
  ),
  ""
)</f>
        <v>Não</v>
      </c>
      <c r="H1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 s="18" t="s">
        <v>29</v>
      </c>
      <c r="J16" s="18" t="s">
        <v>29</v>
      </c>
      <c r="K16" s="18" t="s">
        <v>29</v>
      </c>
      <c r="L16" s="21">
        <f>TblApuracao[[#This Row],[HRS EXTRAS (h:mm)]]-TblApuracao[[#This Row],[FALTAS/ATRASOS (h:mm)]]+TblApuracao[[#This Row],[AJUSTE MANUAL (h:mm)]]</f>
        <v>0</v>
      </c>
      <c r="M16" s="21">
        <f>SUMPRODUCT((TblApuracao[COLABORADOR]=TblApuracao[[#This Row],[COLABORADOR]])*(TblApuracao[COMPETÊNCIA]&lt;=TblApuracao[[#This Row],[COMPETÊNCIA]])*TblApuracao[HRS EXTRAS (h:mm)])</f>
        <v>1.4305555555555554</v>
      </c>
      <c r="N16" s="21">
        <f>SUMPRODUCT((TblApuracao[COLABORADOR]=TblApuracao[[#This Row],[COLABORADOR]])*(TblApuracao[COMPETÊNCIA]&lt;=TblApuracao[[#This Row],[COMPETÊNCIA]])*TblApuracao[FALTAS/ATRASOS (h:mm)])</f>
        <v>0</v>
      </c>
      <c r="O16" s="21">
        <f>TblApuracao[[#This Row],[SALDO ANT. (h:mm)]]+TblApuracao[[#This Row],[SALDO MÊS (h:mm)]]</f>
        <v>0</v>
      </c>
      <c r="P16" s="30" t="s">
        <v>77</v>
      </c>
      <c r="Q16" s="30" t="s">
        <v>78</v>
      </c>
      <c r="R16" s="31" t="s">
        <v>79</v>
      </c>
      <c r="S16" s="24" t="str">
        <f>TblApuracao[[#This Row],[COLABORADOR]]&amp;TblApuracao[[#This Row],[COMPETÊNCIA]]</f>
        <v>Geovana Rodrigues Oliveira2026-04/05</v>
      </c>
      <c r="T16" s="24">
        <f>ROW(TblApuracao[[#Headers],[COMPETÊNCIA]])</f>
        <v>2</v>
      </c>
      <c r="U16" s="24" t="str">
        <f>TblApuracao[[#This Row],[COLABORADOR]]&amp;TblApuracao[[#This Row],[COMPETÊNCIA]]</f>
        <v>Geovana Rodrigues Oliveira2026-04/05</v>
      </c>
      <c r="V16" s="24" t="str">
        <f>INDEX(TblApuracao[COMPETÊNCIA],1)</f>
        <v>2026-03</v>
      </c>
      <c r="W16" s="25">
        <f>SUMPRODUCT((TblApuracao[COLABORADOR]="Emanuelly Ribeiro de Aguiar")*(TblApuracao[COMPETÊNCIA]&lt;="2025-09")*(TblApuracao[SALDO MÊS (h:mm)]&gt;0)*TblApuracao[SALDO MÊS (h:mm)])</f>
        <v>0.6875</v>
      </c>
    </row>
    <row r="17" spans="1:23" ht="24" customHeight="1" x14ac:dyDescent="0.25">
      <c r="A17" s="18">
        <f t="shared" si="0"/>
        <v>15</v>
      </c>
      <c r="B17" s="19" t="s">
        <v>80</v>
      </c>
      <c r="C17" s="19" t="str">
        <f>IFERROR(
  INDEX(TblCadastro[SETOR],
    MATCH(TblApuracao[[#This Row],[COLABORADOR]],TblCadastro[NOME COMPLETO],0)
  ),
  "Não cadastrado"
)</f>
        <v>Call Center</v>
      </c>
      <c r="D17" s="18" t="s">
        <v>34</v>
      </c>
      <c r="E17"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2025-07</v>
      </c>
      <c r="F17" s="18">
        <f>IFERROR(
  INDEX(TblCadastro[JORNADA ATUAL (h/dia)],
    MATCH(TblApuracao[[#This Row],[COLABORADOR]],TblCadastro[NOME COMPLETO],0)
  ),
  ""
)</f>
        <v>5</v>
      </c>
      <c r="G17" s="18" t="str">
        <f>IFERROR(
  INDEX(TblCadastro[TRABALHA SÁB?],
    MATCH(TblApuracao[[#This Row],[COLABORADOR]],TblCadastro[NOME COMPLETO],0)
  ),
  ""
)</f>
        <v>Sim</v>
      </c>
      <c r="H1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 s="18" t="s">
        <v>81</v>
      </c>
      <c r="J17" s="18" t="s">
        <v>29</v>
      </c>
      <c r="K17" s="18" t="s">
        <v>29</v>
      </c>
      <c r="L17" s="21">
        <f>TblApuracao[[#This Row],[HRS EXTRAS (h:mm)]]-TblApuracao[[#This Row],[FALTAS/ATRASOS (h:mm)]]+TblApuracao[[#This Row],[AJUSTE MANUAL (h:mm)]]</f>
        <v>0.55555555555555558</v>
      </c>
      <c r="M17" s="21">
        <f>SUMPRODUCT((TblApuracao[COLABORADOR]=TblApuracao[[#This Row],[COLABORADOR]])*(TblApuracao[COMPETÊNCIA]&lt;=TblApuracao[[#This Row],[COMPETÊNCIA]])*TblApuracao[HRS EXTRAS (h:mm)])</f>
        <v>0.55555555555555558</v>
      </c>
      <c r="N17" s="21">
        <f>SUMPRODUCT((TblApuracao[COLABORADOR]=TblApuracao[[#This Row],[COLABORADOR]])*(TblApuracao[COMPETÊNCIA]&lt;=TblApuracao[[#This Row],[COMPETÊNCIA]])*TblApuracao[FALTAS/ATRASOS (h:mm)])</f>
        <v>0</v>
      </c>
      <c r="O17" s="21">
        <f>TblApuracao[[#This Row],[SALDO ANT. (h:mm)]]+TblApuracao[[#This Row],[SALDO MÊS (h:mm)]]</f>
        <v>0.55555555555555558</v>
      </c>
      <c r="P17" s="26" t="s">
        <v>82</v>
      </c>
      <c r="Q17" s="26" t="s">
        <v>41</v>
      </c>
      <c r="R17" s="27" t="s">
        <v>83</v>
      </c>
      <c r="S17" s="24" t="str">
        <f>TblApuracao[[#This Row],[COLABORADOR]]&amp;TblApuracao[[#This Row],[COMPETÊNCIA]]</f>
        <v>Laisi Silva Ferreira2025-07</v>
      </c>
      <c r="T17" s="24">
        <f>ROW(TblApuracao[[#Headers],[COMPETÊNCIA]])</f>
        <v>2</v>
      </c>
      <c r="U17" s="24" t="str">
        <f>TblApuracao[[#This Row],[COLABORADOR]]&amp;TblApuracao[[#This Row],[COMPETÊNCIA]]</f>
        <v>Laisi Silva Ferreira2025-07</v>
      </c>
      <c r="V17" s="24" t="str">
        <f>INDEX(TblApuracao[COMPETÊNCIA],1)</f>
        <v>2026-03</v>
      </c>
      <c r="W17" s="25">
        <f>SUMPRODUCT((TblApuracao[COLABORADOR]="Emanuelly Ribeiro de Aguiar")*(TblApuracao[COMPETÊNCIA]&lt;="2025-09")*(TblApuracao[SALDO MÊS (h:mm)]&gt;0)*TblApuracao[SALDO MÊS (h:mm)])</f>
        <v>0.6875</v>
      </c>
    </row>
    <row r="18" spans="1:23" ht="24" customHeight="1" x14ac:dyDescent="0.25">
      <c r="A18" s="18">
        <f t="shared" si="0"/>
        <v>16</v>
      </c>
      <c r="B18" s="19" t="s">
        <v>80</v>
      </c>
      <c r="C18" s="19" t="str">
        <f>IFERROR(
  INDEX(TblCadastro[SETOR],
    MATCH(TblApuracao[[#This Row],[COLABORADOR]],TblCadastro[NOME COMPLETO],0)
  ),
  "Não cadastrado"
)</f>
        <v>Call Center</v>
      </c>
      <c r="D18" s="18" t="s">
        <v>38</v>
      </c>
      <c r="E18"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18" s="18">
        <f>IFERROR(
  INDEX(TblCadastro[JORNADA ATUAL (h/dia)],
    MATCH(TblApuracao[[#This Row],[COLABORADOR]],TblCadastro[NOME COMPLETO],0)
  ),
  ""
)</f>
        <v>5</v>
      </c>
      <c r="G18" s="18" t="str">
        <f>IFERROR(
  INDEX(TblCadastro[TRABALHA SÁB?],
    MATCH(TblApuracao[[#This Row],[COLABORADOR]],TblCadastro[NOME COMPLETO],0)
  ),
  ""
)</f>
        <v>Sim</v>
      </c>
      <c r="H1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0.55555555555555558</v>
      </c>
      <c r="I18" s="18" t="s">
        <v>84</v>
      </c>
      <c r="J18" s="18" t="s">
        <v>29</v>
      </c>
      <c r="K18" s="18" t="s">
        <v>29</v>
      </c>
      <c r="L18" s="21">
        <f>TblApuracao[[#This Row],[HRS EXTRAS (h:mm)]]-TblApuracao[[#This Row],[FALTAS/ATRASOS (h:mm)]]+TblApuracao[[#This Row],[AJUSTE MANUAL (h:mm)]]</f>
        <v>0.16458333333333333</v>
      </c>
      <c r="M18" s="21">
        <f>SUMPRODUCT((TblApuracao[COLABORADOR]=TblApuracao[[#This Row],[COLABORADOR]])*(TblApuracao[COMPETÊNCIA]&lt;=TblApuracao[[#This Row],[COMPETÊNCIA]])*TblApuracao[HRS EXTRAS (h:mm)])</f>
        <v>0.72013888888888888</v>
      </c>
      <c r="N18" s="21">
        <f>SUMPRODUCT((TblApuracao[COLABORADOR]=TblApuracao[[#This Row],[COLABORADOR]])*(TblApuracao[COMPETÊNCIA]&lt;=TblApuracao[[#This Row],[COMPETÊNCIA]])*TblApuracao[FALTAS/ATRASOS (h:mm)])</f>
        <v>0</v>
      </c>
      <c r="O18" s="21">
        <f>TblApuracao[[#This Row],[SALDO ANT. (h:mm)]]+TblApuracao[[#This Row],[SALDO MÊS (h:mm)]]</f>
        <v>0.72013888888888888</v>
      </c>
      <c r="P18" s="26" t="s">
        <v>85</v>
      </c>
      <c r="Q18" s="26" t="s">
        <v>41</v>
      </c>
      <c r="R18" s="27" t="s">
        <v>86</v>
      </c>
      <c r="S18" s="24" t="str">
        <f>TblApuracao[[#This Row],[COLABORADOR]]&amp;TblApuracao[[#This Row],[COMPETÊNCIA]]</f>
        <v>Laisi Silva Ferreira2025-08</v>
      </c>
      <c r="T18" s="24">
        <f>ROW(TblApuracao[[#Headers],[COMPETÊNCIA]])</f>
        <v>2</v>
      </c>
      <c r="U18" s="24" t="str">
        <f>TblApuracao[[#This Row],[COLABORADOR]]&amp;TblApuracao[[#This Row],[COMPETÊNCIA]]</f>
        <v>Laisi Silva Ferreira2025-08</v>
      </c>
      <c r="V18" s="24" t="str">
        <f>INDEX(TblApuracao[COMPETÊNCIA],1)</f>
        <v>2026-03</v>
      </c>
      <c r="W18" s="25">
        <f>SUMPRODUCT((TblApuracao[COLABORADOR]="Emanuelly Ribeiro de Aguiar")*(TblApuracao[COMPETÊNCIA]&lt;="2025-09")*(TblApuracao[SALDO MÊS (h:mm)]&gt;0)*TblApuracao[SALDO MÊS (h:mm)])</f>
        <v>0.6875</v>
      </c>
    </row>
    <row r="19" spans="1:23" ht="24" customHeight="1" x14ac:dyDescent="0.25">
      <c r="A19" s="18">
        <f t="shared" si="0"/>
        <v>17</v>
      </c>
      <c r="B19" s="19" t="s">
        <v>80</v>
      </c>
      <c r="C19" s="19" t="str">
        <f>IFERROR(
  INDEX(TblCadastro[SETOR],
    MATCH(TblApuracao[[#This Row],[COLABORADOR]],TblCadastro[NOME COMPLETO],0)
  ),
  "Não cadastrado"
)</f>
        <v>Call Center</v>
      </c>
      <c r="D19" s="18" t="s">
        <v>43</v>
      </c>
      <c r="E19"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19" s="18">
        <f>IFERROR(
  INDEX(TblCadastro[JORNADA ATUAL (h/dia)],
    MATCH(TblApuracao[[#This Row],[COLABORADOR]],TblCadastro[NOME COMPLETO],0)
  ),
  ""
)</f>
        <v>5</v>
      </c>
      <c r="G19" s="18" t="str">
        <f>IFERROR(
  INDEX(TblCadastro[TRABALHA SÁB?],
    MATCH(TblApuracao[[#This Row],[COLABORADOR]],TblCadastro[NOME COMPLETO],0)
  ),
  ""
)</f>
        <v>Sim</v>
      </c>
      <c r="H1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0.72013888888888888</v>
      </c>
      <c r="I19" s="18" t="s">
        <v>87</v>
      </c>
      <c r="J19" s="18" t="s">
        <v>29</v>
      </c>
      <c r="K19" s="18" t="s">
        <v>29</v>
      </c>
      <c r="L19" s="21">
        <f>TblApuracao[[#This Row],[HRS EXTRAS (h:mm)]]-TblApuracao[[#This Row],[FALTAS/ATRASOS (h:mm)]]+TblApuracao[[#This Row],[AJUSTE MANUAL (h:mm)]]</f>
        <v>0.2</v>
      </c>
      <c r="M19" s="21">
        <f>SUMPRODUCT((TblApuracao[COLABORADOR]=TblApuracao[[#This Row],[COLABORADOR]])*(TblApuracao[COMPETÊNCIA]&lt;=TblApuracao[[#This Row],[COMPETÊNCIA]])*TblApuracao[HRS EXTRAS (h:mm)])</f>
        <v>0.92013888888888884</v>
      </c>
      <c r="N19" s="21">
        <f>SUMPRODUCT((TblApuracao[COLABORADOR]=TblApuracao[[#This Row],[COLABORADOR]])*(TblApuracao[COMPETÊNCIA]&lt;=TblApuracao[[#This Row],[COMPETÊNCIA]])*TblApuracao[FALTAS/ATRASOS (h:mm)])</f>
        <v>0</v>
      </c>
      <c r="O19" s="21">
        <f>TblApuracao[[#This Row],[SALDO ANT. (h:mm)]]+TblApuracao[[#This Row],[SALDO MÊS (h:mm)]]</f>
        <v>0.92013888888888884</v>
      </c>
      <c r="P19" s="28" t="s">
        <v>88</v>
      </c>
      <c r="Q19" s="28" t="s">
        <v>46</v>
      </c>
      <c r="R19" s="29" t="s">
        <v>89</v>
      </c>
      <c r="S19" s="24" t="str">
        <f>TblApuracao[[#This Row],[COLABORADOR]]&amp;TblApuracao[[#This Row],[COMPETÊNCIA]]</f>
        <v>Laisi Silva Ferreira2025-09</v>
      </c>
      <c r="T19" s="24">
        <f>ROW(TblApuracao[[#Headers],[COMPETÊNCIA]])</f>
        <v>2</v>
      </c>
      <c r="U19" s="24" t="str">
        <f>TblApuracao[[#This Row],[COLABORADOR]]&amp;TblApuracao[[#This Row],[COMPETÊNCIA]]</f>
        <v>Laisi Silva Ferreira2025-09</v>
      </c>
      <c r="V19" s="24" t="str">
        <f>INDEX(TblApuracao[COMPETÊNCIA],1)</f>
        <v>2026-03</v>
      </c>
      <c r="W19" s="25">
        <f>SUMPRODUCT((TblApuracao[COLABORADOR]="Emanuelly Ribeiro de Aguiar")*(TblApuracao[COMPETÊNCIA]&lt;="2025-09")*(TblApuracao[SALDO MÊS (h:mm)]&gt;0)*TblApuracao[SALDO MÊS (h:mm)])</f>
        <v>0.6875</v>
      </c>
    </row>
    <row r="20" spans="1:23" ht="24" customHeight="1" x14ac:dyDescent="0.25">
      <c r="A20" s="18">
        <f t="shared" si="0"/>
        <v>18</v>
      </c>
      <c r="B20" s="19" t="s">
        <v>80</v>
      </c>
      <c r="C20" s="19" t="str">
        <f>IFERROR(
  INDEX(TblCadastro[SETOR],
    MATCH(TblApuracao[[#This Row],[COLABORADOR]],TblCadastro[NOME COMPLETO],0)
  ),
  "Não cadastrado"
)</f>
        <v>Call Center</v>
      </c>
      <c r="D20" s="18" t="s">
        <v>48</v>
      </c>
      <c r="E20"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2025-10</v>
      </c>
      <c r="F20" s="18">
        <f>IFERROR(
  INDEX(TblCadastro[JORNADA ATUAL (h/dia)],
    MATCH(TblApuracao[[#This Row],[COLABORADOR]],TblCadastro[NOME COMPLETO],0)
  ),
  ""
)</f>
        <v>5</v>
      </c>
      <c r="G20" s="18" t="str">
        <f>IFERROR(
  INDEX(TblCadastro[TRABALHA SÁB?],
    MATCH(TblApuracao[[#This Row],[COLABORADOR]],TblCadastro[NOME COMPLETO],0)
  ),
  ""
)</f>
        <v>Sim</v>
      </c>
      <c r="H2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0.92013888888888884</v>
      </c>
      <c r="I20" s="18" t="s">
        <v>29</v>
      </c>
      <c r="J20" s="18" t="s">
        <v>29</v>
      </c>
      <c r="K20" s="18" t="s">
        <v>29</v>
      </c>
      <c r="L20" s="21">
        <f>TblApuracao[[#This Row],[HRS EXTRAS (h:mm)]]-TblApuracao[[#This Row],[FALTAS/ATRASOS (h:mm)]]+TblApuracao[[#This Row],[AJUSTE MANUAL (h:mm)]]</f>
        <v>0</v>
      </c>
      <c r="M20" s="21">
        <f>SUMPRODUCT((TblApuracao[COLABORADOR]=TblApuracao[[#This Row],[COLABORADOR]])*(TblApuracao[COMPETÊNCIA]&lt;=TblApuracao[[#This Row],[COMPETÊNCIA]])*TblApuracao[HRS EXTRAS (h:mm)])</f>
        <v>0.92013888888888884</v>
      </c>
      <c r="N20" s="21">
        <f>SUMPRODUCT((TblApuracao[COLABORADOR]=TblApuracao[[#This Row],[COLABORADOR]])*(TblApuracao[COMPETÊNCIA]&lt;=TblApuracao[[#This Row],[COMPETÊNCIA]])*TblApuracao[FALTAS/ATRASOS (h:mm)])</f>
        <v>0</v>
      </c>
      <c r="O20" s="21">
        <f>TblApuracao[[#This Row],[SALDO ANT. (h:mm)]]+TblApuracao[[#This Row],[SALDO MÊS (h:mm)]]</f>
        <v>0.92013888888888884</v>
      </c>
      <c r="P20" s="22" t="s">
        <v>90</v>
      </c>
      <c r="Q20" s="22" t="s">
        <v>36</v>
      </c>
      <c r="R20" s="23" t="s">
        <v>91</v>
      </c>
      <c r="S20" s="24" t="str">
        <f>TblApuracao[[#This Row],[COLABORADOR]]&amp;TblApuracao[[#This Row],[COMPETÊNCIA]]</f>
        <v>Laisi Silva Ferreira2025-10</v>
      </c>
      <c r="T20" s="24">
        <f>ROW(TblApuracao[[#Headers],[COMPETÊNCIA]])</f>
        <v>2</v>
      </c>
      <c r="U20" s="24" t="str">
        <f>TblApuracao[[#This Row],[COLABORADOR]]&amp;TblApuracao[[#This Row],[COMPETÊNCIA]]</f>
        <v>Laisi Silva Ferreira2025-10</v>
      </c>
      <c r="V20" s="24" t="str">
        <f>INDEX(TblApuracao[COMPETÊNCIA],1)</f>
        <v>2026-03</v>
      </c>
      <c r="W20" s="25">
        <f>SUMPRODUCT((TblApuracao[COLABORADOR]="Emanuelly Ribeiro de Aguiar")*(TblApuracao[COMPETÊNCIA]&lt;="2025-09")*(TblApuracao[SALDO MÊS (h:mm)]&gt;0)*TblApuracao[SALDO MÊS (h:mm)])</f>
        <v>0.6875</v>
      </c>
    </row>
    <row r="21" spans="1:23" ht="24" customHeight="1" x14ac:dyDescent="0.25">
      <c r="A21" s="18">
        <f t="shared" si="0"/>
        <v>19</v>
      </c>
      <c r="B21" s="19" t="s">
        <v>80</v>
      </c>
      <c r="C21" s="19" t="str">
        <f>IFERROR(
  INDEX(TblCadastro[SETOR],
    MATCH(TblApuracao[[#This Row],[COLABORADOR]],TblCadastro[NOME COMPLETO],0)
  ),
  "Não cadastrado"
)</f>
        <v>Call Center</v>
      </c>
      <c r="D21" s="18" t="s">
        <v>51</v>
      </c>
      <c r="E21"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2025-11</v>
      </c>
      <c r="F21" s="18">
        <f>IFERROR(
  INDEX(TblCadastro[JORNADA ATUAL (h/dia)],
    MATCH(TblApuracao[[#This Row],[COLABORADOR]],TblCadastro[NOME COMPLETO],0)
  ),
  ""
)</f>
        <v>5</v>
      </c>
      <c r="G21" s="18" t="str">
        <f>IFERROR(
  INDEX(TblCadastro[TRABALHA SÁB?],
    MATCH(TblApuracao[[#This Row],[COLABORADOR]],TblCadastro[NOME COMPLETO],0)
  ),
  ""
)</f>
        <v>Sim</v>
      </c>
      <c r="H2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0.92013888888888884</v>
      </c>
      <c r="I21" s="18" t="s">
        <v>92</v>
      </c>
      <c r="J21" s="18" t="s">
        <v>93</v>
      </c>
      <c r="K21" s="18" t="s">
        <v>29</v>
      </c>
      <c r="L21" s="21">
        <f>TblApuracao[[#This Row],[HRS EXTRAS (h:mm)]]-TblApuracao[[#This Row],[FALTAS/ATRASOS (h:mm)]]+TblApuracao[[#This Row],[AJUSTE MANUAL (h:mm)]]</f>
        <v>0.17083333333333331</v>
      </c>
      <c r="M21" s="21">
        <f>SUMPRODUCT((TblApuracao[COLABORADOR]=TblApuracao[[#This Row],[COLABORADOR]])*(TblApuracao[COMPETÊNCIA]&lt;=TblApuracao[[#This Row],[COMPETÊNCIA]])*TblApuracao[HRS EXTRAS (h:mm)])</f>
        <v>1.2993055555555555</v>
      </c>
      <c r="N21" s="21">
        <f>SUMPRODUCT((TblApuracao[COLABORADOR]=TblApuracao[[#This Row],[COLABORADOR]])*(TblApuracao[COMPETÊNCIA]&lt;=TblApuracao[[#This Row],[COMPETÊNCIA]])*TblApuracao[FALTAS/ATRASOS (h:mm)])</f>
        <v>0.20833333333333334</v>
      </c>
      <c r="O21" s="21">
        <f>TblApuracao[[#This Row],[SALDO ANT. (h:mm)]]+TblApuracao[[#This Row],[SALDO MÊS (h:mm)]]</f>
        <v>1.0909722222222222</v>
      </c>
      <c r="P21" s="32" t="s">
        <v>94</v>
      </c>
      <c r="Q21" s="32" t="s">
        <v>95</v>
      </c>
      <c r="R21" s="33" t="s">
        <v>96</v>
      </c>
      <c r="S21" s="24" t="str">
        <f>TblApuracao[[#This Row],[COLABORADOR]]&amp;TblApuracao[[#This Row],[COMPETÊNCIA]]</f>
        <v>Laisi Silva Ferreira2025-11</v>
      </c>
      <c r="T21" s="24">
        <f>ROW(TblApuracao[[#Headers],[COMPETÊNCIA]])</f>
        <v>2</v>
      </c>
      <c r="U21" s="24" t="str">
        <f>TblApuracao[[#This Row],[COLABORADOR]]&amp;TblApuracao[[#This Row],[COMPETÊNCIA]]</f>
        <v>Laisi Silva Ferreira2025-11</v>
      </c>
      <c r="V21" s="24" t="str">
        <f>INDEX(TblApuracao[COMPETÊNCIA],1)</f>
        <v>2026-03</v>
      </c>
      <c r="W21" s="25">
        <f>SUMPRODUCT((TblApuracao[COLABORADOR]="Emanuelly Ribeiro de Aguiar")*(TblApuracao[COMPETÊNCIA]&lt;="2025-09")*(TblApuracao[SALDO MÊS (h:mm)]&gt;0)*TblApuracao[SALDO MÊS (h:mm)])</f>
        <v>0.6875</v>
      </c>
    </row>
    <row r="22" spans="1:23" ht="15" customHeight="1" x14ac:dyDescent="0.25">
      <c r="A22" s="18">
        <f t="shared" si="0"/>
        <v>20</v>
      </c>
      <c r="B22" s="19" t="s">
        <v>80</v>
      </c>
      <c r="C22" s="19" t="str">
        <f>IFERROR(
  INDEX(TblCadastro[SETOR],
    MATCH(TblApuracao[[#This Row],[COLABORADOR]],TblCadastro[NOME COMPLETO],0)
  ),
  "Não cadastrado"
)</f>
        <v>Call Center</v>
      </c>
      <c r="D22" s="18" t="s">
        <v>57</v>
      </c>
      <c r="E22"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2025-12</v>
      </c>
      <c r="F22" s="18">
        <f>IFERROR(
  INDEX(TblCadastro[JORNADA ATUAL (h/dia)],
    MATCH(TblApuracao[[#This Row],[COLABORADOR]],TblCadastro[NOME COMPLETO],0)
  ),
  ""
)</f>
        <v>5</v>
      </c>
      <c r="G22" s="18" t="str">
        <f>IFERROR(
  INDEX(TblCadastro[TRABALHA SÁB?],
    MATCH(TblApuracao[[#This Row],[COLABORADOR]],TblCadastro[NOME COMPLETO],0)
  ),
  ""
)</f>
        <v>Sim</v>
      </c>
      <c r="H2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1.0909722222222222</v>
      </c>
      <c r="I22" s="18" t="s">
        <v>97</v>
      </c>
      <c r="J22" s="18" t="s">
        <v>98</v>
      </c>
      <c r="K22" s="18" t="s">
        <v>29</v>
      </c>
      <c r="L22" s="21">
        <f>TblApuracao[[#This Row],[HRS EXTRAS (h:mm)]]-TblApuracao[[#This Row],[FALTAS/ATRASOS (h:mm)]]+TblApuracao[[#This Row],[AJUSTE MANUAL (h:mm)]]</f>
        <v>4.6527777777777779E-2</v>
      </c>
      <c r="M22" s="21">
        <f>SUMPRODUCT((TblApuracao[COLABORADOR]=TblApuracao[[#This Row],[COLABORADOR]])*(TblApuracao[COMPETÊNCIA]&lt;=TblApuracao[[#This Row],[COMPETÊNCIA]])*TblApuracao[HRS EXTRAS (h:mm)])</f>
        <v>1.3736111111111111</v>
      </c>
      <c r="N22" s="21">
        <f>SUMPRODUCT((TblApuracao[COLABORADOR]=TblApuracao[[#This Row],[COLABORADOR]])*(TblApuracao[COMPETÊNCIA]&lt;=TblApuracao[[#This Row],[COMPETÊNCIA]])*TblApuracao[FALTAS/ATRASOS (h:mm)])</f>
        <v>0.2361111111111111</v>
      </c>
      <c r="O22" s="21">
        <f>TblApuracao[[#This Row],[SALDO ANT. (h:mm)]]+TblApuracao[[#This Row],[SALDO MÊS (h:mm)]]</f>
        <v>1.1375</v>
      </c>
      <c r="P22" s="26" t="s">
        <v>99</v>
      </c>
      <c r="Q22" s="26" t="s">
        <v>55</v>
      </c>
      <c r="R22" s="27" t="s">
        <v>100</v>
      </c>
      <c r="S22" s="24" t="str">
        <f>TblApuracao[[#This Row],[COLABORADOR]]&amp;TblApuracao[[#This Row],[COMPETÊNCIA]]</f>
        <v>Laisi Silva Ferreira2025-12</v>
      </c>
      <c r="T22" s="24">
        <f>ROW(TblApuracao[[#Headers],[COMPETÊNCIA]])</f>
        <v>2</v>
      </c>
      <c r="U22" s="24" t="str">
        <f>TblApuracao[[#This Row],[COLABORADOR]]&amp;TblApuracao[[#This Row],[COMPETÊNCIA]]</f>
        <v>Laisi Silva Ferreira2025-12</v>
      </c>
      <c r="V22" s="24" t="str">
        <f>INDEX(TblApuracao[COMPETÊNCIA],1)</f>
        <v>2026-03</v>
      </c>
      <c r="W22" s="25">
        <f>SUMPRODUCT((TblApuracao[COLABORADOR]="Emanuelly Ribeiro de Aguiar")*(TblApuracao[COMPETÊNCIA]&lt;="2025-09")*(TblApuracao[SALDO MÊS (h:mm)]&gt;0)*TblApuracao[SALDO MÊS (h:mm)])</f>
        <v>0.6875</v>
      </c>
    </row>
    <row r="23" spans="1:23" ht="15" customHeight="1" x14ac:dyDescent="0.25">
      <c r="A23" s="18">
        <f t="shared" si="0"/>
        <v>21</v>
      </c>
      <c r="B23" s="19" t="s">
        <v>80</v>
      </c>
      <c r="C23" s="19" t="str">
        <f>IFERROR(
  INDEX(TblCadastro[SETOR],
    MATCH(TblApuracao[[#This Row],[COLABORADOR]],TblCadastro[NOME COMPLETO],0)
  ),
  "Não cadastrado"
)</f>
        <v>Call Center</v>
      </c>
      <c r="D23" s="18" t="s">
        <v>60</v>
      </c>
      <c r="E23"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2026-01</v>
      </c>
      <c r="F23" s="18">
        <f>IFERROR(
  INDEX(TblCadastro[JORNADA ATUAL (h/dia)],
    MATCH(TblApuracao[[#This Row],[COLABORADOR]],TblCadastro[NOME COMPLETO],0)
  ),
  ""
)</f>
        <v>5</v>
      </c>
      <c r="G23" s="18" t="str">
        <f>IFERROR(
  INDEX(TblCadastro[TRABALHA SÁB?],
    MATCH(TblApuracao[[#This Row],[COLABORADOR]],TblCadastro[NOME COMPLETO],0)
  ),
  ""
)</f>
        <v>Sim</v>
      </c>
      <c r="H2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1.1375</v>
      </c>
      <c r="I23" s="18" t="s">
        <v>29</v>
      </c>
      <c r="J23" s="18" t="s">
        <v>29</v>
      </c>
      <c r="K23" s="18" t="s">
        <v>29</v>
      </c>
      <c r="L23" s="21">
        <f>TblApuracao[[#This Row],[HRS EXTRAS (h:mm)]]-TblApuracao[[#This Row],[FALTAS/ATRASOS (h:mm)]]+TblApuracao[[#This Row],[AJUSTE MANUAL (h:mm)]]</f>
        <v>0</v>
      </c>
      <c r="M23" s="21">
        <f>SUMPRODUCT((TblApuracao[COLABORADOR]=TblApuracao[[#This Row],[COLABORADOR]])*(TblApuracao[COMPETÊNCIA]&lt;=TblApuracao[[#This Row],[COMPETÊNCIA]])*TblApuracao[HRS EXTRAS (h:mm)])</f>
        <v>1.3736111111111111</v>
      </c>
      <c r="N23" s="21">
        <f>SUMPRODUCT((TblApuracao[COLABORADOR]=TblApuracao[[#This Row],[COLABORADOR]])*(TblApuracao[COMPETÊNCIA]&lt;=TblApuracao[[#This Row],[COMPETÊNCIA]])*TblApuracao[FALTAS/ATRASOS (h:mm)])</f>
        <v>0.2361111111111111</v>
      </c>
      <c r="O23" s="21">
        <f>TblApuracao[[#This Row],[SALDO ANT. (h:mm)]]+TblApuracao[[#This Row],[SALDO MÊS (h:mm)]]</f>
        <v>1.1375</v>
      </c>
      <c r="P23" s="22" t="s">
        <v>101</v>
      </c>
      <c r="Q23" s="22" t="s">
        <v>36</v>
      </c>
      <c r="R23" s="23" t="s">
        <v>102</v>
      </c>
      <c r="S23" s="24" t="str">
        <f>TblApuracao[[#This Row],[COLABORADOR]]&amp;TblApuracao[[#This Row],[COMPETÊNCIA]]</f>
        <v>Laisi Silva Ferreira2026-01</v>
      </c>
      <c r="T23" s="24">
        <f>ROW(TblApuracao[[#Headers],[COMPETÊNCIA]])</f>
        <v>2</v>
      </c>
      <c r="U23" s="24" t="str">
        <f>TblApuracao[[#This Row],[COLABORADOR]]&amp;TblApuracao[[#This Row],[COMPETÊNCIA]]</f>
        <v>Laisi Silva Ferreira2026-01</v>
      </c>
      <c r="V23" s="24" t="str">
        <f>INDEX(TblApuracao[COMPETÊNCIA],1)</f>
        <v>2026-03</v>
      </c>
      <c r="W23" s="25">
        <f>SUMPRODUCT((TblApuracao[COLABORADOR]="Emanuelly Ribeiro de Aguiar")*(TblApuracao[COMPETÊNCIA]&lt;="2025-09")*(TblApuracao[SALDO MÊS (h:mm)]&gt;0)*TblApuracao[SALDO MÊS (h:mm)])</f>
        <v>0.6875</v>
      </c>
    </row>
    <row r="24" spans="1:23" ht="24" customHeight="1" x14ac:dyDescent="0.25">
      <c r="A24" s="18">
        <f t="shared" si="0"/>
        <v>22</v>
      </c>
      <c r="B24" s="19" t="s">
        <v>80</v>
      </c>
      <c r="C24" s="19" t="str">
        <f>IFERROR(
  INDEX(TblCadastro[SETOR],
    MATCH(TblApuracao[[#This Row],[COLABORADOR]],TblCadastro[NOME COMPLETO],0)
  ),
  "Não cadastrado"
)</f>
        <v>Call Center</v>
      </c>
      <c r="D24" s="18" t="s">
        <v>63</v>
      </c>
      <c r="E24"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2026-02</v>
      </c>
      <c r="F24" s="18">
        <f>IFERROR(
  INDEX(TblCadastro[JORNADA ATUAL (h/dia)],
    MATCH(TblApuracao[[#This Row],[COLABORADOR]],TblCadastro[NOME COMPLETO],0)
  ),
  ""
)</f>
        <v>5</v>
      </c>
      <c r="G24" s="18" t="str">
        <f>IFERROR(
  INDEX(TblCadastro[TRABALHA SÁB?],
    MATCH(TblApuracao[[#This Row],[COLABORADOR]],TblCadastro[NOME COMPLETO],0)
  ),
  ""
)</f>
        <v>Sim</v>
      </c>
      <c r="H2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1.1375</v>
      </c>
      <c r="I24" s="18" t="s">
        <v>29</v>
      </c>
      <c r="J24" s="18" t="s">
        <v>29</v>
      </c>
      <c r="K24" s="18" t="s">
        <v>29</v>
      </c>
      <c r="L24" s="21">
        <f>TblApuracao[[#This Row],[HRS EXTRAS (h:mm)]]-TblApuracao[[#This Row],[FALTAS/ATRASOS (h:mm)]]+TblApuracao[[#This Row],[AJUSTE MANUAL (h:mm)]]</f>
        <v>0</v>
      </c>
      <c r="M24" s="21">
        <f>SUMPRODUCT((TblApuracao[COLABORADOR]=TblApuracao[[#This Row],[COLABORADOR]])*(TblApuracao[COMPETÊNCIA]&lt;=TblApuracao[[#This Row],[COMPETÊNCIA]])*TblApuracao[HRS EXTRAS (h:mm)])</f>
        <v>1.3736111111111111</v>
      </c>
      <c r="N24" s="21">
        <f>SUMPRODUCT((TblApuracao[COLABORADOR]=TblApuracao[[#This Row],[COLABORADOR]])*(TblApuracao[COMPETÊNCIA]&lt;=TblApuracao[[#This Row],[COMPETÊNCIA]])*TblApuracao[FALTAS/ATRASOS (h:mm)])</f>
        <v>0.2361111111111111</v>
      </c>
      <c r="O24" s="21">
        <f>TblApuracao[[#This Row],[SALDO ANT. (h:mm)]]+TblApuracao[[#This Row],[SALDO MÊS (h:mm)]]</f>
        <v>1.1375</v>
      </c>
      <c r="P24" s="22" t="s">
        <v>103</v>
      </c>
      <c r="Q24" s="22" t="s">
        <v>36</v>
      </c>
      <c r="R24" s="23" t="s">
        <v>104</v>
      </c>
      <c r="S24" s="24" t="str">
        <f>TblApuracao[[#This Row],[COLABORADOR]]&amp;TblApuracao[[#This Row],[COMPETÊNCIA]]</f>
        <v>Laisi Silva Ferreira2026-02</v>
      </c>
      <c r="T24" s="24">
        <f>ROW(TblApuracao[[#Headers],[COMPETÊNCIA]])</f>
        <v>2</v>
      </c>
      <c r="U24" s="24" t="str">
        <f>TblApuracao[[#This Row],[COLABORADOR]]&amp;TblApuracao[[#This Row],[COMPETÊNCIA]]</f>
        <v>Laisi Silva Ferreira2026-02</v>
      </c>
      <c r="V24" s="24" t="str">
        <f>INDEX(TblApuracao[COMPETÊNCIA],1)</f>
        <v>2026-03</v>
      </c>
      <c r="W24" s="25">
        <f>SUMPRODUCT((TblApuracao[COLABORADOR]="Emanuelly Ribeiro de Aguiar")*(TblApuracao[COMPETÊNCIA]&lt;="2025-09")*(TblApuracao[SALDO MÊS (h:mm)]&gt;0)*TblApuracao[SALDO MÊS (h:mm)])</f>
        <v>0.6875</v>
      </c>
    </row>
    <row r="25" spans="1:23" ht="24" customHeight="1" x14ac:dyDescent="0.25">
      <c r="A25" s="18">
        <f t="shared" si="0"/>
        <v>23</v>
      </c>
      <c r="B25" s="19" t="s">
        <v>80</v>
      </c>
      <c r="C25" s="19" t="str">
        <f>IFERROR(
  INDEX(TblCadastro[SETOR],
    MATCH(TblApuracao[[#This Row],[COLABORADOR]],TblCadastro[NOME COMPLETO],0)
  ),
  "Não cadastrado"
)</f>
        <v>Call Center</v>
      </c>
      <c r="D25" s="18" t="s">
        <v>28</v>
      </c>
      <c r="E25"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25" s="18">
        <f>IFERROR(
  INDEX(TblCadastro[JORNADA ATUAL (h/dia)],
    MATCH(TblApuracao[[#This Row],[COLABORADOR]],TblCadastro[NOME COMPLETO],0)
  ),
  ""
)</f>
        <v>5</v>
      </c>
      <c r="G25" s="18" t="str">
        <f>IFERROR(
  INDEX(TblCadastro[TRABALHA SÁB?],
    MATCH(TblApuracao[[#This Row],[COLABORADOR]],TblCadastro[NOME COMPLETO],0)
  ),
  ""
)</f>
        <v>Sim</v>
      </c>
      <c r="H2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1.1375</v>
      </c>
      <c r="I25" s="18" t="s">
        <v>29</v>
      </c>
      <c r="J25" s="18" t="s">
        <v>29</v>
      </c>
      <c r="K25" s="18" t="s">
        <v>29</v>
      </c>
      <c r="L25" s="21">
        <f>TblApuracao[[#This Row],[HRS EXTRAS (h:mm)]]-TblApuracao[[#This Row],[FALTAS/ATRASOS (h:mm)]]+TblApuracao[[#This Row],[AJUSTE MANUAL (h:mm)]]</f>
        <v>0</v>
      </c>
      <c r="M25" s="21">
        <f>SUMPRODUCT((TblApuracao[COLABORADOR]=TblApuracao[[#This Row],[COLABORADOR]])*(TblApuracao[COMPETÊNCIA]&lt;=TblApuracao[[#This Row],[COMPETÊNCIA]])*TblApuracao[HRS EXTRAS (h:mm)])</f>
        <v>1.3736111111111111</v>
      </c>
      <c r="N25" s="21">
        <f>SUMPRODUCT((TblApuracao[COLABORADOR]=TblApuracao[[#This Row],[COLABORADOR]])*(TblApuracao[COMPETÊNCIA]&lt;=TblApuracao[[#This Row],[COMPETÊNCIA]])*TblApuracao[FALTAS/ATRASOS (h:mm)])</f>
        <v>0.2361111111111111</v>
      </c>
      <c r="O25" s="21">
        <f>TblApuracao[[#This Row],[SALDO ANT. (h:mm)]]+TblApuracao[[#This Row],[SALDO MÊS (h:mm)]]</f>
        <v>1.1375</v>
      </c>
      <c r="P25" s="22" t="s">
        <v>105</v>
      </c>
      <c r="Q25" s="22" t="s">
        <v>36</v>
      </c>
      <c r="R25" s="23" t="s">
        <v>106</v>
      </c>
      <c r="S25" s="24" t="str">
        <f>TblApuracao[[#This Row],[COLABORADOR]]&amp;TblApuracao[[#This Row],[COMPETÊNCIA]]</f>
        <v>Laisi Silva Ferreira2026-03</v>
      </c>
      <c r="T25" s="24">
        <f>ROW(TblApuracao[[#Headers],[COMPETÊNCIA]])</f>
        <v>2</v>
      </c>
      <c r="U25" s="24" t="str">
        <f>TblApuracao[[#This Row],[COLABORADOR]]&amp;TblApuracao[[#This Row],[COMPETÊNCIA]]</f>
        <v>Laisi Silva Ferreira2026-03</v>
      </c>
      <c r="V25" s="24" t="str">
        <f>INDEX(TblApuracao[COMPETÊNCIA],1)</f>
        <v>2026-03</v>
      </c>
      <c r="W25" s="25">
        <f>SUMPRODUCT((TblApuracao[COLABORADOR]="Emanuelly Ribeiro de Aguiar")*(TblApuracao[COMPETÊNCIA]&lt;="2025-09")*(TblApuracao[SALDO MÊS (h:mm)]&gt;0)*TblApuracao[SALDO MÊS (h:mm)])</f>
        <v>0.6875</v>
      </c>
    </row>
    <row r="26" spans="1:23" ht="15" customHeight="1" x14ac:dyDescent="0.25">
      <c r="A26" s="18">
        <f t="shared" si="0"/>
        <v>24</v>
      </c>
      <c r="B26" s="19" t="s">
        <v>107</v>
      </c>
      <c r="C26" s="19" t="str">
        <f>IFERROR(
  INDEX(TblCadastro[SETOR],
    MATCH(TblApuracao[[#This Row],[COLABORADOR]],TblCadastro[NOME COMPLETO],0)
  ),
  "Não cadastrado"
)</f>
        <v>Call Center</v>
      </c>
      <c r="D26" s="18" t="s">
        <v>34</v>
      </c>
      <c r="E26"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2025-07</v>
      </c>
      <c r="F26" s="18">
        <f>IFERROR(
  INDEX(TblCadastro[JORNADA ATUAL (h/dia)],
    MATCH(TblApuracao[[#This Row],[COLABORADOR]],TblCadastro[NOME COMPLETO],0)
  ),
  ""
)</f>
        <v>8</v>
      </c>
      <c r="G26" s="18" t="str">
        <f>IFERROR(
  INDEX(TblCadastro[TRABALHA SÁB?],
    MATCH(TblApuracao[[#This Row],[COLABORADOR]],TblCadastro[NOME COMPLETO],0)
  ),
  ""
)</f>
        <v>Não</v>
      </c>
      <c r="H2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6" s="18" t="s">
        <v>29</v>
      </c>
      <c r="J26" s="18" t="s">
        <v>29</v>
      </c>
      <c r="K26" s="18" t="s">
        <v>29</v>
      </c>
      <c r="L26" s="21">
        <f>TblApuracao[[#This Row],[HRS EXTRAS (h:mm)]]-TblApuracao[[#This Row],[FALTAS/ATRASOS (h:mm)]]+TblApuracao[[#This Row],[AJUSTE MANUAL (h:mm)]]</f>
        <v>0</v>
      </c>
      <c r="M26" s="21">
        <f>SUMPRODUCT((TblApuracao[COLABORADOR]=TblApuracao[[#This Row],[COLABORADOR]])*(TblApuracao[COMPETÊNCIA]&lt;=TblApuracao[[#This Row],[COMPETÊNCIA]])*TblApuracao[HRS EXTRAS (h:mm)])</f>
        <v>0</v>
      </c>
      <c r="N26" s="21">
        <f>SUMPRODUCT((TblApuracao[COLABORADOR]=TblApuracao[[#This Row],[COLABORADOR]])*(TblApuracao[COMPETÊNCIA]&lt;=TblApuracao[[#This Row],[COMPETÊNCIA]])*TblApuracao[FALTAS/ATRASOS (h:mm)])</f>
        <v>0</v>
      </c>
      <c r="O26" s="21">
        <f>TblApuracao[[#This Row],[SALDO ANT. (h:mm)]]+TblApuracao[[#This Row],[SALDO MÊS (h:mm)]]</f>
        <v>0</v>
      </c>
      <c r="P26" s="22" t="s">
        <v>108</v>
      </c>
      <c r="Q26" s="22" t="s">
        <v>36</v>
      </c>
      <c r="R26" s="23" t="s">
        <v>109</v>
      </c>
      <c r="S26" s="24" t="str">
        <f>TblApuracao[[#This Row],[COLABORADOR]]&amp;TblApuracao[[#This Row],[COMPETÊNCIA]]</f>
        <v>Lizandra Ferreira Alves2025-07</v>
      </c>
      <c r="T26" s="24">
        <f>ROW(TblApuracao[[#Headers],[COMPETÊNCIA]])</f>
        <v>2</v>
      </c>
      <c r="U26" s="24" t="str">
        <f>TblApuracao[[#This Row],[COLABORADOR]]&amp;TblApuracao[[#This Row],[COMPETÊNCIA]]</f>
        <v>Lizandra Ferreira Alves2025-07</v>
      </c>
      <c r="V26" s="24" t="str">
        <f>INDEX(TblApuracao[COMPETÊNCIA],1)</f>
        <v>2026-03</v>
      </c>
      <c r="W26" s="25">
        <f>SUMPRODUCT((TblApuracao[COLABORADOR]="Emanuelly Ribeiro de Aguiar")*(TblApuracao[COMPETÊNCIA]&lt;="2025-09")*(TblApuracao[SALDO MÊS (h:mm)]&gt;0)*TblApuracao[SALDO MÊS (h:mm)])</f>
        <v>0.6875</v>
      </c>
    </row>
    <row r="27" spans="1:23" ht="15" customHeight="1" x14ac:dyDescent="0.25">
      <c r="A27" s="18">
        <f t="shared" si="0"/>
        <v>25</v>
      </c>
      <c r="B27" s="19" t="s">
        <v>107</v>
      </c>
      <c r="C27" s="19" t="str">
        <f>IFERROR(
  INDEX(TblCadastro[SETOR],
    MATCH(TblApuracao[[#This Row],[COLABORADOR]],TblCadastro[NOME COMPLETO],0)
  ),
  "Não cadastrado"
)</f>
        <v>Call Center</v>
      </c>
      <c r="D27" s="18" t="s">
        <v>38</v>
      </c>
      <c r="E27"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27" s="18">
        <f>IFERROR(
  INDEX(TblCadastro[JORNADA ATUAL (h/dia)],
    MATCH(TblApuracao[[#This Row],[COLABORADOR]],TblCadastro[NOME COMPLETO],0)
  ),
  ""
)</f>
        <v>8</v>
      </c>
      <c r="G27" s="18" t="str">
        <f>IFERROR(
  INDEX(TblCadastro[TRABALHA SÁB?],
    MATCH(TblApuracao[[#This Row],[COLABORADOR]],TblCadastro[NOME COMPLETO],0)
  ),
  ""
)</f>
        <v>Não</v>
      </c>
      <c r="H2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7" s="18" t="s">
        <v>110</v>
      </c>
      <c r="J27" s="18" t="s">
        <v>29</v>
      </c>
      <c r="K27" s="18" t="s">
        <v>29</v>
      </c>
      <c r="L27" s="21">
        <f>TblApuracao[[#This Row],[HRS EXTRAS (h:mm)]]-TblApuracao[[#This Row],[FALTAS/ATRASOS (h:mm)]]+TblApuracao[[#This Row],[AJUSTE MANUAL (h:mm)]]</f>
        <v>1.5590277777777777</v>
      </c>
      <c r="M27" s="21">
        <f>SUMPRODUCT((TblApuracao[COLABORADOR]=TblApuracao[[#This Row],[COLABORADOR]])*(TblApuracao[COMPETÊNCIA]&lt;=TblApuracao[[#This Row],[COMPETÊNCIA]])*TblApuracao[HRS EXTRAS (h:mm)])</f>
        <v>1.5590277777777777</v>
      </c>
      <c r="N27" s="21">
        <f>SUMPRODUCT((TblApuracao[COLABORADOR]=TblApuracao[[#This Row],[COLABORADOR]])*(TblApuracao[COMPETÊNCIA]&lt;=TblApuracao[[#This Row],[COMPETÊNCIA]])*TblApuracao[FALTAS/ATRASOS (h:mm)])</f>
        <v>0</v>
      </c>
      <c r="O27" s="21">
        <f>TblApuracao[[#This Row],[SALDO ANT. (h:mm)]]+TblApuracao[[#This Row],[SALDO MÊS (h:mm)]]</f>
        <v>1.5590277777777777</v>
      </c>
      <c r="P27" s="26" t="s">
        <v>111</v>
      </c>
      <c r="Q27" s="26" t="s">
        <v>41</v>
      </c>
      <c r="R27" s="27" t="s">
        <v>112</v>
      </c>
      <c r="S27" s="24" t="str">
        <f>TblApuracao[[#This Row],[COLABORADOR]]&amp;TblApuracao[[#This Row],[COMPETÊNCIA]]</f>
        <v>Lizandra Ferreira Alves2025-08</v>
      </c>
      <c r="T27" s="24">
        <f>ROW(TblApuracao[[#Headers],[COMPETÊNCIA]])</f>
        <v>2</v>
      </c>
      <c r="U27" s="24" t="str">
        <f>TblApuracao[[#This Row],[COLABORADOR]]&amp;TblApuracao[[#This Row],[COMPETÊNCIA]]</f>
        <v>Lizandra Ferreira Alves2025-08</v>
      </c>
      <c r="V27" s="24" t="str">
        <f>INDEX(TblApuracao[COMPETÊNCIA],1)</f>
        <v>2026-03</v>
      </c>
      <c r="W27" s="25">
        <f>SUMPRODUCT((TblApuracao[COLABORADOR]="Emanuelly Ribeiro de Aguiar")*(TblApuracao[COMPETÊNCIA]&lt;="2025-09")*(TblApuracao[SALDO MÊS (h:mm)]&gt;0)*TblApuracao[SALDO MÊS (h:mm)])</f>
        <v>0.6875</v>
      </c>
    </row>
    <row r="28" spans="1:23" ht="24" customHeight="1" x14ac:dyDescent="0.25">
      <c r="A28" s="18">
        <f t="shared" si="0"/>
        <v>26</v>
      </c>
      <c r="B28" s="19" t="s">
        <v>107</v>
      </c>
      <c r="C28" s="19" t="str">
        <f>IFERROR(
  INDEX(TblCadastro[SETOR],
    MATCH(TblApuracao[[#This Row],[COLABORADOR]],TblCadastro[NOME COMPLETO],0)
  ),
  "Não cadastrado"
)</f>
        <v>Call Center</v>
      </c>
      <c r="D28" s="18" t="s">
        <v>43</v>
      </c>
      <c r="E28"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28" s="18">
        <f>IFERROR(
  INDEX(TblCadastro[JORNADA ATUAL (h/dia)],
    MATCH(TblApuracao[[#This Row],[COLABORADOR]],TblCadastro[NOME COMPLETO],0)
  ),
  ""
)</f>
        <v>8</v>
      </c>
      <c r="G28" s="18" t="str">
        <f>IFERROR(
  INDEX(TblCadastro[TRABALHA SÁB?],
    MATCH(TblApuracao[[#This Row],[COLABORADOR]],TblCadastro[NOME COMPLETO],0)
  ),
  ""
)</f>
        <v>Não</v>
      </c>
      <c r="H2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1.5590277777777777</v>
      </c>
      <c r="I28" s="18" t="s">
        <v>113</v>
      </c>
      <c r="J28" s="18" t="s">
        <v>29</v>
      </c>
      <c r="K28" s="18" t="s">
        <v>29</v>
      </c>
      <c r="L28" s="21">
        <f>TblApuracao[[#This Row],[HRS EXTRAS (h:mm)]]-TblApuracao[[#This Row],[FALTAS/ATRASOS (h:mm)]]+TblApuracao[[#This Row],[AJUSTE MANUAL (h:mm)]]</f>
        <v>0.94097222222222221</v>
      </c>
      <c r="M28" s="21">
        <f>SUMPRODUCT((TblApuracao[COLABORADOR]=TblApuracao[[#This Row],[COLABORADOR]])*(TblApuracao[COMPETÊNCIA]&lt;=TblApuracao[[#This Row],[COMPETÊNCIA]])*TblApuracao[HRS EXTRAS (h:mm)])</f>
        <v>2.5</v>
      </c>
      <c r="N28" s="21">
        <f>SUMPRODUCT((TblApuracao[COLABORADOR]=TblApuracao[[#This Row],[COLABORADOR]])*(TblApuracao[COMPETÊNCIA]&lt;=TblApuracao[[#This Row],[COMPETÊNCIA]])*TblApuracao[FALTAS/ATRASOS (h:mm)])</f>
        <v>0</v>
      </c>
      <c r="O28" s="21">
        <f>TblApuracao[[#This Row],[SALDO ANT. (h:mm)]]+TblApuracao[[#This Row],[SALDO MÊS (h:mm)]]</f>
        <v>2.5</v>
      </c>
      <c r="P28" s="28" t="s">
        <v>114</v>
      </c>
      <c r="Q28" s="28" t="s">
        <v>46</v>
      </c>
      <c r="R28" s="29" t="s">
        <v>115</v>
      </c>
      <c r="S28" s="24" t="str">
        <f>TblApuracao[[#This Row],[COLABORADOR]]&amp;TblApuracao[[#This Row],[COMPETÊNCIA]]</f>
        <v>Lizandra Ferreira Alves2025-09</v>
      </c>
      <c r="T28" s="24">
        <f>ROW(TblApuracao[[#Headers],[COMPETÊNCIA]])</f>
        <v>2</v>
      </c>
      <c r="U28" s="24" t="str">
        <f>TblApuracao[[#This Row],[COLABORADOR]]&amp;TblApuracao[[#This Row],[COMPETÊNCIA]]</f>
        <v>Lizandra Ferreira Alves2025-09</v>
      </c>
      <c r="V28" s="24" t="str">
        <f>INDEX(TblApuracao[COMPETÊNCIA],1)</f>
        <v>2026-03</v>
      </c>
      <c r="W28" s="25">
        <f>SUMPRODUCT((TblApuracao[COLABORADOR]="Emanuelly Ribeiro de Aguiar")*(TblApuracao[COMPETÊNCIA]&lt;="2025-09")*(TblApuracao[SALDO MÊS (h:mm)]&gt;0)*TblApuracao[SALDO MÊS (h:mm)])</f>
        <v>0.6875</v>
      </c>
    </row>
    <row r="29" spans="1:23" ht="24" customHeight="1" x14ac:dyDescent="0.25">
      <c r="A29" s="18">
        <f t="shared" si="0"/>
        <v>27</v>
      </c>
      <c r="B29" s="19" t="s">
        <v>107</v>
      </c>
      <c r="C29" s="19" t="str">
        <f>IFERROR(
  INDEX(TblCadastro[SETOR],
    MATCH(TblApuracao[[#This Row],[COLABORADOR]],TblCadastro[NOME COMPLETO],0)
  ),
  "Não cadastrado"
)</f>
        <v>Call Center</v>
      </c>
      <c r="D29" s="18" t="s">
        <v>48</v>
      </c>
      <c r="E29"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2025-10</v>
      </c>
      <c r="F29" s="18">
        <f>IFERROR(
  INDEX(TblCadastro[JORNADA ATUAL (h/dia)],
    MATCH(TblApuracao[[#This Row],[COLABORADOR]],TblCadastro[NOME COMPLETO],0)
  ),
  ""
)</f>
        <v>8</v>
      </c>
      <c r="G29" s="18" t="str">
        <f>IFERROR(
  INDEX(TblCadastro[TRABALHA SÁB?],
    MATCH(TblApuracao[[#This Row],[COLABORADOR]],TblCadastro[NOME COMPLETO],0)
  ),
  ""
)</f>
        <v>Não</v>
      </c>
      <c r="H2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2.5</v>
      </c>
      <c r="I29" s="18" t="s">
        <v>116</v>
      </c>
      <c r="J29" s="18" t="s">
        <v>29</v>
      </c>
      <c r="K29" s="18" t="s">
        <v>29</v>
      </c>
      <c r="L29" s="21">
        <f>TblApuracao[[#This Row],[HRS EXTRAS (h:mm)]]-TblApuracao[[#This Row],[FALTAS/ATRASOS (h:mm)]]+TblApuracao[[#This Row],[AJUSTE MANUAL (h:mm)]]</f>
        <v>5.6250000000000001E-2</v>
      </c>
      <c r="M29" s="21">
        <f>SUMPRODUCT((TblApuracao[COLABORADOR]=TblApuracao[[#This Row],[COLABORADOR]])*(TblApuracao[COMPETÊNCIA]&lt;=TblApuracao[[#This Row],[COMPETÊNCIA]])*TblApuracao[HRS EXTRAS (h:mm)])</f>
        <v>2.5562499999999999</v>
      </c>
      <c r="N29" s="21">
        <f>SUMPRODUCT((TblApuracao[COLABORADOR]=TblApuracao[[#This Row],[COLABORADOR]])*(TblApuracao[COMPETÊNCIA]&lt;=TblApuracao[[#This Row],[COMPETÊNCIA]])*TblApuracao[FALTAS/ATRASOS (h:mm)])</f>
        <v>0</v>
      </c>
      <c r="O29" s="21">
        <f>TblApuracao[[#This Row],[SALDO ANT. (h:mm)]]+TblApuracao[[#This Row],[SALDO MÊS (h:mm)]]</f>
        <v>2.5562499999999999</v>
      </c>
      <c r="P29" s="26" t="s">
        <v>117</v>
      </c>
      <c r="Q29" s="26" t="s">
        <v>41</v>
      </c>
      <c r="R29" s="27" t="s">
        <v>118</v>
      </c>
      <c r="S29" s="24" t="str">
        <f>TblApuracao[[#This Row],[COLABORADOR]]&amp;TblApuracao[[#This Row],[COMPETÊNCIA]]</f>
        <v>Lizandra Ferreira Alves2025-10</v>
      </c>
      <c r="T29" s="24">
        <f>ROW(TblApuracao[[#Headers],[COMPETÊNCIA]])</f>
        <v>2</v>
      </c>
      <c r="U29" s="24" t="str">
        <f>TblApuracao[[#This Row],[COLABORADOR]]&amp;TblApuracao[[#This Row],[COMPETÊNCIA]]</f>
        <v>Lizandra Ferreira Alves2025-10</v>
      </c>
      <c r="V29" s="24" t="str">
        <f>INDEX(TblApuracao[COMPETÊNCIA],1)</f>
        <v>2026-03</v>
      </c>
      <c r="W29" s="25">
        <f>SUMPRODUCT((TblApuracao[COLABORADOR]="Emanuelly Ribeiro de Aguiar")*(TblApuracao[COMPETÊNCIA]&lt;="2025-09")*(TblApuracao[SALDO MÊS (h:mm)]&gt;0)*TblApuracao[SALDO MÊS (h:mm)])</f>
        <v>0.6875</v>
      </c>
    </row>
    <row r="30" spans="1:23" ht="24" customHeight="1" x14ac:dyDescent="0.25">
      <c r="A30" s="18">
        <f t="shared" si="0"/>
        <v>28</v>
      </c>
      <c r="B30" s="19" t="s">
        <v>107</v>
      </c>
      <c r="C30" s="19" t="str">
        <f>IFERROR(
  INDEX(TblCadastro[SETOR],
    MATCH(TblApuracao[[#This Row],[COLABORADOR]],TblCadastro[NOME COMPLETO],0)
  ),
  "Não cadastrado"
)</f>
        <v>Call Center</v>
      </c>
      <c r="D30" s="18" t="s">
        <v>51</v>
      </c>
      <c r="E30"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2025-11</v>
      </c>
      <c r="F30" s="18">
        <f>IFERROR(
  INDEX(TblCadastro[JORNADA ATUAL (h/dia)],
    MATCH(TblApuracao[[#This Row],[COLABORADOR]],TblCadastro[NOME COMPLETO],0)
  ),
  ""
)</f>
        <v>8</v>
      </c>
      <c r="G30" s="18" t="str">
        <f>IFERROR(
  INDEX(TblCadastro[TRABALHA SÁB?],
    MATCH(TblApuracao[[#This Row],[COLABORADOR]],TblCadastro[NOME COMPLETO],0)
  ),
  ""
)</f>
        <v>Não</v>
      </c>
      <c r="H3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2.5562499999999999</v>
      </c>
      <c r="I30" s="18" t="s">
        <v>29</v>
      </c>
      <c r="J30" s="18" t="s">
        <v>119</v>
      </c>
      <c r="K30" s="18" t="s">
        <v>29</v>
      </c>
      <c r="L30" s="21">
        <f>TblApuracao[[#This Row],[HRS EXTRAS (h:mm)]]-TblApuracao[[#This Row],[FALTAS/ATRASOS (h:mm)]]+TblApuracao[[#This Row],[AJUSTE MANUAL (h:mm)]]</f>
        <v>-0.33333333333333331</v>
      </c>
      <c r="M30" s="21">
        <f>SUMPRODUCT((TblApuracao[COLABORADOR]=TblApuracao[[#This Row],[COLABORADOR]])*(TblApuracao[COMPETÊNCIA]&lt;=TblApuracao[[#This Row],[COMPETÊNCIA]])*TblApuracao[HRS EXTRAS (h:mm)])</f>
        <v>2.5562499999999999</v>
      </c>
      <c r="N30" s="21">
        <f>SUMPRODUCT((TblApuracao[COLABORADOR]=TblApuracao[[#This Row],[COLABORADOR]])*(TblApuracao[COMPETÊNCIA]&lt;=TblApuracao[[#This Row],[COMPETÊNCIA]])*TblApuracao[FALTAS/ATRASOS (h:mm)])</f>
        <v>0.33333333333333331</v>
      </c>
      <c r="O30" s="21">
        <f>TblApuracao[[#This Row],[SALDO ANT. (h:mm)]]+TblApuracao[[#This Row],[SALDO MÊS (h:mm)]]</f>
        <v>2.2229166666666664</v>
      </c>
      <c r="P30" s="26" t="s">
        <v>120</v>
      </c>
      <c r="Q30" s="26" t="s">
        <v>41</v>
      </c>
      <c r="R30" s="27" t="s">
        <v>121</v>
      </c>
      <c r="S30" s="24" t="str">
        <f>TblApuracao[[#This Row],[COLABORADOR]]&amp;TblApuracao[[#This Row],[COMPETÊNCIA]]</f>
        <v>Lizandra Ferreira Alves2025-11</v>
      </c>
      <c r="T30" s="24">
        <f>ROW(TblApuracao[[#Headers],[COMPETÊNCIA]])</f>
        <v>2</v>
      </c>
      <c r="U30" s="24" t="str">
        <f>TblApuracao[[#This Row],[COLABORADOR]]&amp;TblApuracao[[#This Row],[COMPETÊNCIA]]</f>
        <v>Lizandra Ferreira Alves2025-11</v>
      </c>
      <c r="V30" s="24" t="str">
        <f>INDEX(TblApuracao[COMPETÊNCIA],1)</f>
        <v>2026-03</v>
      </c>
      <c r="W30" s="25">
        <f>SUMPRODUCT((TblApuracao[COLABORADOR]="Emanuelly Ribeiro de Aguiar")*(TblApuracao[COMPETÊNCIA]&lt;="2025-09")*(TblApuracao[SALDO MÊS (h:mm)]&gt;0)*TblApuracao[SALDO MÊS (h:mm)])</f>
        <v>0.6875</v>
      </c>
    </row>
    <row r="31" spans="1:23" ht="24" customHeight="1" x14ac:dyDescent="0.25">
      <c r="A31" s="18">
        <f t="shared" si="0"/>
        <v>29</v>
      </c>
      <c r="B31" s="19" t="s">
        <v>107</v>
      </c>
      <c r="C31" s="19" t="str">
        <f>IFERROR(
  INDEX(TblCadastro[SETOR],
    MATCH(TblApuracao[[#This Row],[COLABORADOR]],TblCadastro[NOME COMPLETO],0)
  ),
  "Não cadastrado"
)</f>
        <v>Call Center</v>
      </c>
      <c r="D31" s="18" t="s">
        <v>57</v>
      </c>
      <c r="E31"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2025-12</v>
      </c>
      <c r="F31" s="18">
        <f>IFERROR(
  INDEX(TblCadastro[JORNADA ATUAL (h/dia)],
    MATCH(TblApuracao[[#This Row],[COLABORADOR]],TblCadastro[NOME COMPLETO],0)
  ),
  ""
)</f>
        <v>8</v>
      </c>
      <c r="G31" s="18" t="str">
        <f>IFERROR(
  INDEX(TblCadastro[TRABALHA SÁB?],
    MATCH(TblApuracao[[#This Row],[COLABORADOR]],TblCadastro[NOME COMPLETO],0)
  ),
  ""
)</f>
        <v>Não</v>
      </c>
      <c r="H3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2.2229166666666664</v>
      </c>
      <c r="I31" s="18" t="s">
        <v>122</v>
      </c>
      <c r="J31" s="18" t="s">
        <v>123</v>
      </c>
      <c r="K31" s="18" t="s">
        <v>29</v>
      </c>
      <c r="L31" s="21">
        <f>TblApuracao[[#This Row],[HRS EXTRAS (h:mm)]]-TblApuracao[[#This Row],[FALTAS/ATRASOS (h:mm)]]+TblApuracao[[#This Row],[AJUSTE MANUAL (h:mm)]]</f>
        <v>-9.0277777777777769E-3</v>
      </c>
      <c r="M31" s="21">
        <f>SUMPRODUCT((TblApuracao[COLABORADOR]=TblApuracao[[#This Row],[COLABORADOR]])*(TblApuracao[COMPETÊNCIA]&lt;=TblApuracao[[#This Row],[COMPETÊNCIA]])*TblApuracao[HRS EXTRAS (h:mm)])</f>
        <v>2.5611111111111109</v>
      </c>
      <c r="N31" s="21">
        <f>SUMPRODUCT((TblApuracao[COLABORADOR]=TblApuracao[[#This Row],[COLABORADOR]])*(TblApuracao[COMPETÊNCIA]&lt;=TblApuracao[[#This Row],[COMPETÊNCIA]])*TblApuracao[FALTAS/ATRASOS (h:mm)])</f>
        <v>0.34722222222222221</v>
      </c>
      <c r="O31" s="21">
        <f>TblApuracao[[#This Row],[SALDO ANT. (h:mm)]]+TblApuracao[[#This Row],[SALDO MÊS (h:mm)]]</f>
        <v>2.2138888888888886</v>
      </c>
      <c r="P31" s="26" t="s">
        <v>124</v>
      </c>
      <c r="Q31" s="26" t="s">
        <v>41</v>
      </c>
      <c r="R31" s="27" t="s">
        <v>125</v>
      </c>
      <c r="S31" s="24" t="str">
        <f>TblApuracao[[#This Row],[COLABORADOR]]&amp;TblApuracao[[#This Row],[COMPETÊNCIA]]</f>
        <v>Lizandra Ferreira Alves2025-12</v>
      </c>
      <c r="T31" s="24">
        <f>ROW(TblApuracao[[#Headers],[COMPETÊNCIA]])</f>
        <v>2</v>
      </c>
      <c r="U31" s="24" t="str">
        <f>TblApuracao[[#This Row],[COLABORADOR]]&amp;TblApuracao[[#This Row],[COMPETÊNCIA]]</f>
        <v>Lizandra Ferreira Alves2025-12</v>
      </c>
      <c r="V31" s="24" t="str">
        <f>INDEX(TblApuracao[COMPETÊNCIA],1)</f>
        <v>2026-03</v>
      </c>
      <c r="W31" s="25">
        <f>SUMPRODUCT((TblApuracao[COLABORADOR]="Emanuelly Ribeiro de Aguiar")*(TblApuracao[COMPETÊNCIA]&lt;="2025-09")*(TblApuracao[SALDO MÊS (h:mm)]&gt;0)*TblApuracao[SALDO MÊS (h:mm)])</f>
        <v>0.6875</v>
      </c>
    </row>
    <row r="32" spans="1:23" ht="15" customHeight="1" x14ac:dyDescent="0.25">
      <c r="A32" s="18">
        <f t="shared" si="0"/>
        <v>30</v>
      </c>
      <c r="B32" s="19" t="s">
        <v>107</v>
      </c>
      <c r="C32" s="19" t="str">
        <f>IFERROR(
  INDEX(TblCadastro[SETOR],
    MATCH(TblApuracao[[#This Row],[COLABORADOR]],TblCadastro[NOME COMPLETO],0)
  ),
  "Não cadastrado"
)</f>
        <v>Call Center</v>
      </c>
      <c r="D32" s="18" t="s">
        <v>60</v>
      </c>
      <c r="E32"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2026-01</v>
      </c>
      <c r="F32" s="18">
        <f>IFERROR(
  INDEX(TblCadastro[JORNADA ATUAL (h/dia)],
    MATCH(TblApuracao[[#This Row],[COLABORADOR]],TblCadastro[NOME COMPLETO],0)
  ),
  ""
)</f>
        <v>8</v>
      </c>
      <c r="G32" s="18" t="str">
        <f>IFERROR(
  INDEX(TblCadastro[TRABALHA SÁB?],
    MATCH(TblApuracao[[#This Row],[COLABORADOR]],TblCadastro[NOME COMPLETO],0)
  ),
  ""
)</f>
        <v>Não</v>
      </c>
      <c r="H3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2.2138888888888886</v>
      </c>
      <c r="I32" s="18" t="s">
        <v>29</v>
      </c>
      <c r="J32" s="18" t="s">
        <v>29</v>
      </c>
      <c r="K32" s="18" t="s">
        <v>29</v>
      </c>
      <c r="L32" s="21">
        <f>TblApuracao[[#This Row],[HRS EXTRAS (h:mm)]]-TblApuracao[[#This Row],[FALTAS/ATRASOS (h:mm)]]+TblApuracao[[#This Row],[AJUSTE MANUAL (h:mm)]]</f>
        <v>0</v>
      </c>
      <c r="M32" s="21">
        <f>SUMPRODUCT((TblApuracao[COLABORADOR]=TblApuracao[[#This Row],[COLABORADOR]])*(TblApuracao[COMPETÊNCIA]&lt;=TblApuracao[[#This Row],[COMPETÊNCIA]])*TblApuracao[HRS EXTRAS (h:mm)])</f>
        <v>2.5611111111111109</v>
      </c>
      <c r="N32" s="21">
        <f>SUMPRODUCT((TblApuracao[COLABORADOR]=TblApuracao[[#This Row],[COLABORADOR]])*(TblApuracao[COMPETÊNCIA]&lt;=TblApuracao[[#This Row],[COMPETÊNCIA]])*TblApuracao[FALTAS/ATRASOS (h:mm)])</f>
        <v>0.34722222222222221</v>
      </c>
      <c r="O32" s="21">
        <f>TblApuracao[[#This Row],[SALDO ANT. (h:mm)]]+TblApuracao[[#This Row],[SALDO MÊS (h:mm)]]</f>
        <v>2.2138888888888886</v>
      </c>
      <c r="P32" s="22" t="s">
        <v>126</v>
      </c>
      <c r="Q32" s="22" t="s">
        <v>36</v>
      </c>
      <c r="R32" s="23" t="s">
        <v>127</v>
      </c>
      <c r="S32" s="24" t="str">
        <f>TblApuracao[[#This Row],[COLABORADOR]]&amp;TblApuracao[[#This Row],[COMPETÊNCIA]]</f>
        <v>Lizandra Ferreira Alves2026-01</v>
      </c>
      <c r="T32" s="24">
        <f>ROW(TblApuracao[[#Headers],[COMPETÊNCIA]])</f>
        <v>2</v>
      </c>
      <c r="U32" s="24" t="str">
        <f>TblApuracao[[#This Row],[COLABORADOR]]&amp;TblApuracao[[#This Row],[COMPETÊNCIA]]</f>
        <v>Lizandra Ferreira Alves2026-01</v>
      </c>
      <c r="V32" s="24" t="str">
        <f>INDEX(TblApuracao[COMPETÊNCIA],1)</f>
        <v>2026-03</v>
      </c>
      <c r="W32" s="25">
        <f>SUMPRODUCT((TblApuracao[COLABORADOR]="Emanuelly Ribeiro de Aguiar")*(TblApuracao[COMPETÊNCIA]&lt;="2025-09")*(TblApuracao[SALDO MÊS (h:mm)]&gt;0)*TblApuracao[SALDO MÊS (h:mm)])</f>
        <v>0.6875</v>
      </c>
    </row>
    <row r="33" spans="1:23" ht="36" customHeight="1" x14ac:dyDescent="0.25">
      <c r="A33" s="18">
        <f t="shared" si="0"/>
        <v>31</v>
      </c>
      <c r="B33" s="19" t="s">
        <v>107</v>
      </c>
      <c r="C33" s="19" t="str">
        <f>IFERROR(
  INDEX(TblCadastro[SETOR],
    MATCH(TblApuracao[[#This Row],[COLABORADOR]],TblCadastro[NOME COMPLETO],0)
  ),
  "Não cadastrado"
)</f>
        <v>Call Center</v>
      </c>
      <c r="D33" s="18" t="s">
        <v>63</v>
      </c>
      <c r="E33"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2026-02</v>
      </c>
      <c r="F33" s="18">
        <f>IFERROR(
  INDEX(TblCadastro[JORNADA ATUAL (h/dia)],
    MATCH(TblApuracao[[#This Row],[COLABORADOR]],TblCadastro[NOME COMPLETO],0)
  ),
  ""
)</f>
        <v>8</v>
      </c>
      <c r="G33" s="18" t="str">
        <f>IFERROR(
  INDEX(TblCadastro[TRABALHA SÁB?],
    MATCH(TblApuracao[[#This Row],[COLABORADOR]],TblCadastro[NOME COMPLETO],0)
  ),
  ""
)</f>
        <v>Não</v>
      </c>
      <c r="H3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2.2138888888888886</v>
      </c>
      <c r="I33" s="18" t="s">
        <v>29</v>
      </c>
      <c r="J33" s="18" t="s">
        <v>29</v>
      </c>
      <c r="K33" s="18" t="s">
        <v>29</v>
      </c>
      <c r="L33" s="21">
        <f>TblApuracao[[#This Row],[HRS EXTRAS (h:mm)]]-TblApuracao[[#This Row],[FALTAS/ATRASOS (h:mm)]]+TblApuracao[[#This Row],[AJUSTE MANUAL (h:mm)]]</f>
        <v>0</v>
      </c>
      <c r="M33" s="21">
        <f>SUMPRODUCT((TblApuracao[COLABORADOR]=TblApuracao[[#This Row],[COLABORADOR]])*(TblApuracao[COMPETÊNCIA]&lt;=TblApuracao[[#This Row],[COMPETÊNCIA]])*TblApuracao[HRS EXTRAS (h:mm)])</f>
        <v>2.5611111111111109</v>
      </c>
      <c r="N33" s="21">
        <f>SUMPRODUCT((TblApuracao[COLABORADOR]=TblApuracao[[#This Row],[COLABORADOR]])*(TblApuracao[COMPETÊNCIA]&lt;=TblApuracao[[#This Row],[COMPETÊNCIA]])*TblApuracao[FALTAS/ATRASOS (h:mm)])</f>
        <v>0.34722222222222221</v>
      </c>
      <c r="O33" s="21">
        <f>TblApuracao[[#This Row],[SALDO ANT. (h:mm)]]+TblApuracao[[#This Row],[SALDO MÊS (h:mm)]]</f>
        <v>2.2138888888888886</v>
      </c>
      <c r="P33" s="22" t="s">
        <v>128</v>
      </c>
      <c r="Q33" s="22" t="s">
        <v>36</v>
      </c>
      <c r="R33" s="23" t="s">
        <v>129</v>
      </c>
      <c r="S33" s="24" t="str">
        <f>TblApuracao[[#This Row],[COLABORADOR]]&amp;TblApuracao[[#This Row],[COMPETÊNCIA]]</f>
        <v>Lizandra Ferreira Alves2026-02</v>
      </c>
      <c r="T33" s="24">
        <f>ROW(TblApuracao[[#Headers],[COMPETÊNCIA]])</f>
        <v>2</v>
      </c>
      <c r="U33" s="24" t="str">
        <f>TblApuracao[[#This Row],[COLABORADOR]]&amp;TblApuracao[[#This Row],[COMPETÊNCIA]]</f>
        <v>Lizandra Ferreira Alves2026-02</v>
      </c>
      <c r="V33" s="24" t="str">
        <f>INDEX(TblApuracao[COMPETÊNCIA],1)</f>
        <v>2026-03</v>
      </c>
      <c r="W33" s="25">
        <f>SUMPRODUCT((TblApuracao[COLABORADOR]="Emanuelly Ribeiro de Aguiar")*(TblApuracao[COMPETÊNCIA]&lt;="2025-09")*(TblApuracao[SALDO MÊS (h:mm)]&gt;0)*TblApuracao[SALDO MÊS (h:mm)])</f>
        <v>0.6875</v>
      </c>
    </row>
    <row r="34" spans="1:23" ht="24" customHeight="1" x14ac:dyDescent="0.25">
      <c r="A34" s="18">
        <f t="shared" si="0"/>
        <v>32</v>
      </c>
      <c r="B34" s="19" t="s">
        <v>107</v>
      </c>
      <c r="C34" s="19" t="str">
        <f>IFERROR(
  INDEX(TblCadastro[SETOR],
    MATCH(TblApuracao[[#This Row],[COLABORADOR]],TblCadastro[NOME COMPLETO],0)
  ),
  "Não cadastrado"
)</f>
        <v>Call Center</v>
      </c>
      <c r="D34" s="18" t="s">
        <v>28</v>
      </c>
      <c r="E34"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34" s="18">
        <f>IFERROR(
  INDEX(TblCadastro[JORNADA ATUAL (h/dia)],
    MATCH(TblApuracao[[#This Row],[COLABORADOR]],TblCadastro[NOME COMPLETO],0)
  ),
  ""
)</f>
        <v>8</v>
      </c>
      <c r="G34" s="18" t="str">
        <f>IFERROR(
  INDEX(TblCadastro[TRABALHA SÁB?],
    MATCH(TblApuracao[[#This Row],[COLABORADOR]],TblCadastro[NOME COMPLETO],0)
  ),
  ""
)</f>
        <v>Não</v>
      </c>
      <c r="H3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2.2138888888888886</v>
      </c>
      <c r="I34" s="18" t="s">
        <v>29</v>
      </c>
      <c r="J34" s="18" t="s">
        <v>29</v>
      </c>
      <c r="K34" s="18" t="s">
        <v>29</v>
      </c>
      <c r="L34" s="21">
        <f>TblApuracao[[#This Row],[HRS EXTRAS (h:mm)]]-TblApuracao[[#This Row],[FALTAS/ATRASOS (h:mm)]]+TblApuracao[[#This Row],[AJUSTE MANUAL (h:mm)]]</f>
        <v>0</v>
      </c>
      <c r="M34" s="21">
        <f>SUMPRODUCT((TblApuracao[COLABORADOR]=TblApuracao[[#This Row],[COLABORADOR]])*(TblApuracao[COMPETÊNCIA]&lt;=TblApuracao[[#This Row],[COMPETÊNCIA]])*TblApuracao[HRS EXTRAS (h:mm)])</f>
        <v>2.5611111111111109</v>
      </c>
      <c r="N34" s="21">
        <f>SUMPRODUCT((TblApuracao[COLABORADOR]=TblApuracao[[#This Row],[COLABORADOR]])*(TblApuracao[COMPETÊNCIA]&lt;=TblApuracao[[#This Row],[COMPETÊNCIA]])*TblApuracao[FALTAS/ATRASOS (h:mm)])</f>
        <v>0.34722222222222221</v>
      </c>
      <c r="O34" s="21">
        <f>TblApuracao[[#This Row],[SALDO ANT. (h:mm)]]+TblApuracao[[#This Row],[SALDO MÊS (h:mm)]]</f>
        <v>2.2138888888888886</v>
      </c>
      <c r="P34" s="22" t="s">
        <v>130</v>
      </c>
      <c r="Q34" s="22" t="s">
        <v>36</v>
      </c>
      <c r="R34" s="23" t="s">
        <v>131</v>
      </c>
      <c r="S34" s="24" t="str">
        <f>TblApuracao[[#This Row],[COLABORADOR]]&amp;TblApuracao[[#This Row],[COMPETÊNCIA]]</f>
        <v>Lizandra Ferreira Alves2026-03</v>
      </c>
      <c r="T34" s="24">
        <f>ROW(TblApuracao[[#Headers],[COMPETÊNCIA]])</f>
        <v>2</v>
      </c>
      <c r="U34" s="24" t="str">
        <f>TblApuracao[[#This Row],[COLABORADOR]]&amp;TblApuracao[[#This Row],[COMPETÊNCIA]]</f>
        <v>Lizandra Ferreira Alves2026-03</v>
      </c>
      <c r="V34" s="24" t="str">
        <f>INDEX(TblApuracao[COMPETÊNCIA],1)</f>
        <v>2026-03</v>
      </c>
      <c r="W34" s="25">
        <f>SUMPRODUCT((TblApuracao[COLABORADOR]="Emanuelly Ribeiro de Aguiar")*(TblApuracao[COMPETÊNCIA]&lt;="2025-09")*(TblApuracao[SALDO MÊS (h:mm)]&gt;0)*TblApuracao[SALDO MÊS (h:mm)])</f>
        <v>0.6875</v>
      </c>
    </row>
    <row r="35" spans="1:23" ht="24" customHeight="1" x14ac:dyDescent="0.25">
      <c r="A35" s="18">
        <f t="shared" si="0"/>
        <v>33</v>
      </c>
      <c r="B35" s="19" t="s">
        <v>107</v>
      </c>
      <c r="C35" s="19" t="str">
        <f>IFERROR(
  INDEX(TblCadastro[SETOR],
    MATCH(TblApuracao[[#This Row],[COLABORADOR]],TblCadastro[NOME COMPLETO],0)
  ),
  "Não cadastrado"
)</f>
        <v>Call Center</v>
      </c>
      <c r="D35" s="18" t="s">
        <v>67</v>
      </c>
      <c r="E35"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2026-04</v>
      </c>
      <c r="F35" s="18">
        <f>IFERROR(
  INDEX(TblCadastro[JORNADA ATUAL (h/dia)],
    MATCH(TblApuracao[[#This Row],[COLABORADOR]],TblCadastro[NOME COMPLETO],0)
  ),
  ""
)</f>
        <v>8</v>
      </c>
      <c r="G35" s="18" t="str">
        <f>IFERROR(
  INDEX(TblCadastro[TRABALHA SÁB?],
    MATCH(TblApuracao[[#This Row],[COLABORADOR]],TblCadastro[NOME COMPLETO],0)
  ),
  ""
)</f>
        <v>Não</v>
      </c>
      <c r="H3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2.2138888888888886</v>
      </c>
      <c r="I35" s="18" t="s">
        <v>29</v>
      </c>
      <c r="J35" s="18" t="s">
        <v>29</v>
      </c>
      <c r="K35" s="18" t="s">
        <v>29</v>
      </c>
      <c r="L35" s="21">
        <f>TblApuracao[[#This Row],[HRS EXTRAS (h:mm)]]-TblApuracao[[#This Row],[FALTAS/ATRASOS (h:mm)]]+TblApuracao[[#This Row],[AJUSTE MANUAL (h:mm)]]</f>
        <v>0</v>
      </c>
      <c r="M35" s="21">
        <f>SUMPRODUCT((TblApuracao[COLABORADOR]=TblApuracao[[#This Row],[COLABORADOR]])*(TblApuracao[COMPETÊNCIA]&lt;=TblApuracao[[#This Row],[COMPETÊNCIA]])*TblApuracao[HRS EXTRAS (h:mm)])</f>
        <v>2.5611111111111109</v>
      </c>
      <c r="N35" s="21">
        <f>SUMPRODUCT((TblApuracao[COLABORADOR]=TblApuracao[[#This Row],[COLABORADOR]])*(TblApuracao[COMPETÊNCIA]&lt;=TblApuracao[[#This Row],[COMPETÊNCIA]])*TblApuracao[FALTAS/ATRASOS (h:mm)])</f>
        <v>0.34722222222222221</v>
      </c>
      <c r="O35" s="21">
        <f>TblApuracao[[#This Row],[SALDO ANT. (h:mm)]]+TblApuracao[[#This Row],[SALDO MÊS (h:mm)]]</f>
        <v>2.2138888888888886</v>
      </c>
      <c r="P35" s="22" t="s">
        <v>132</v>
      </c>
      <c r="Q35" s="22" t="s">
        <v>36</v>
      </c>
      <c r="R35" s="23" t="s">
        <v>133</v>
      </c>
      <c r="S35" s="24" t="str">
        <f>TblApuracao[[#This Row],[COLABORADOR]]&amp;TblApuracao[[#This Row],[COMPETÊNCIA]]</f>
        <v>Lizandra Ferreira Alves2026-04</v>
      </c>
      <c r="T35" s="24">
        <f>ROW(TblApuracao[[#Headers],[COMPETÊNCIA]])</f>
        <v>2</v>
      </c>
      <c r="U35" s="24" t="str">
        <f>TblApuracao[[#This Row],[COLABORADOR]]&amp;TblApuracao[[#This Row],[COMPETÊNCIA]]</f>
        <v>Lizandra Ferreira Alves2026-04</v>
      </c>
      <c r="V35" s="24" t="str">
        <f>INDEX(TblApuracao[COMPETÊNCIA],1)</f>
        <v>2026-03</v>
      </c>
      <c r="W35" s="25">
        <f>SUMPRODUCT((TblApuracao[COLABORADOR]="Emanuelly Ribeiro de Aguiar")*(TblApuracao[COMPETÊNCIA]&lt;="2025-09")*(TblApuracao[SALDO MÊS (h:mm)]&gt;0)*TblApuracao[SALDO MÊS (h:mm)])</f>
        <v>0.6875</v>
      </c>
    </row>
    <row r="36" spans="1:23" ht="24" customHeight="1" x14ac:dyDescent="0.25">
      <c r="A36" s="18">
        <f t="shared" si="0"/>
        <v>34</v>
      </c>
      <c r="B36" s="19" t="s">
        <v>134</v>
      </c>
      <c r="C36" s="19" t="str">
        <f>IFERROR(
  INDEX(TblCadastro[SETOR],
    MATCH(TblApuracao[[#This Row],[COLABORADOR]],TblCadastro[NOME COMPLETO],0)
  ),
  "Não cadastrado"
)</f>
        <v>Call Center</v>
      </c>
      <c r="D36" s="18" t="s">
        <v>34</v>
      </c>
      <c r="E36"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2025-07</v>
      </c>
      <c r="F36" s="18">
        <f>IFERROR(
  INDEX(TblCadastro[JORNADA ATUAL (h/dia)],
    MATCH(TblApuracao[[#This Row],[COLABORADOR]],TblCadastro[NOME COMPLETO],0)
  ),
  ""
)</f>
        <v>5</v>
      </c>
      <c r="G36" s="18" t="str">
        <f>IFERROR(
  INDEX(TblCadastro[TRABALHA SÁB?],
    MATCH(TblApuracao[[#This Row],[COLABORADOR]],TblCadastro[NOME COMPLETO],0)
  ),
  ""
)</f>
        <v>Sim</v>
      </c>
      <c r="H3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36" s="18" t="s">
        <v>29</v>
      </c>
      <c r="J36" s="18" t="s">
        <v>135</v>
      </c>
      <c r="K36" s="18" t="s">
        <v>29</v>
      </c>
      <c r="L36" s="21">
        <f>TblApuracao[[#This Row],[HRS EXTRAS (h:mm)]]-TblApuracao[[#This Row],[FALTAS/ATRASOS (h:mm)]]+TblApuracao[[#This Row],[AJUSTE MANUAL (h:mm)]]</f>
        <v>-0.19444444444444445</v>
      </c>
      <c r="M36" s="21">
        <f>SUMPRODUCT((TblApuracao[COLABORADOR]=TblApuracao[[#This Row],[COLABORADOR]])*(TblApuracao[COMPETÊNCIA]&lt;=TblApuracao[[#This Row],[COMPETÊNCIA]])*TblApuracao[HRS EXTRAS (h:mm)])</f>
        <v>0</v>
      </c>
      <c r="N36" s="21">
        <f>SUMPRODUCT((TblApuracao[COLABORADOR]=TblApuracao[[#This Row],[COLABORADOR]])*(TblApuracao[COMPETÊNCIA]&lt;=TblApuracao[[#This Row],[COMPETÊNCIA]])*TblApuracao[FALTAS/ATRASOS (h:mm)])</f>
        <v>0.19444444444444445</v>
      </c>
      <c r="O36" s="21">
        <f>TblApuracao[[#This Row],[SALDO ANT. (h:mm)]]+TblApuracao[[#This Row],[SALDO MÊS (h:mm)]]</f>
        <v>-0.19444444444444445</v>
      </c>
      <c r="P36" s="26" t="s">
        <v>136</v>
      </c>
      <c r="Q36" s="26" t="s">
        <v>41</v>
      </c>
      <c r="R36" s="27" t="s">
        <v>137</v>
      </c>
      <c r="S36" s="24" t="str">
        <f>TblApuracao[[#This Row],[COLABORADOR]]&amp;TblApuracao[[#This Row],[COMPETÊNCIA]]</f>
        <v>Matheus Silva de Sousa2025-07</v>
      </c>
      <c r="T36" s="24">
        <f>ROW(TblApuracao[[#Headers],[COMPETÊNCIA]])</f>
        <v>2</v>
      </c>
      <c r="U36" s="24" t="str">
        <f>TblApuracao[[#This Row],[COLABORADOR]]&amp;TblApuracao[[#This Row],[COMPETÊNCIA]]</f>
        <v>Matheus Silva de Sousa2025-07</v>
      </c>
      <c r="V36" s="24" t="str">
        <f>INDEX(TblApuracao[COMPETÊNCIA],1)</f>
        <v>2026-03</v>
      </c>
      <c r="W36" s="25">
        <f>SUMPRODUCT((TblApuracao[COLABORADOR]="Emanuelly Ribeiro de Aguiar")*(TblApuracao[COMPETÊNCIA]&lt;="2025-09")*(TblApuracao[SALDO MÊS (h:mm)]&gt;0)*TblApuracao[SALDO MÊS (h:mm)])</f>
        <v>0.6875</v>
      </c>
    </row>
    <row r="37" spans="1:23" ht="48" customHeight="1" x14ac:dyDescent="0.25">
      <c r="A37" s="18">
        <f t="shared" si="0"/>
        <v>35</v>
      </c>
      <c r="B37" s="19" t="s">
        <v>134</v>
      </c>
      <c r="C37" s="19" t="str">
        <f>IFERROR(
  INDEX(TblCadastro[SETOR],
    MATCH(TblApuracao[[#This Row],[COLABORADOR]],TblCadastro[NOME COMPLETO],0)
  ),
  "Não cadastrado"
)</f>
        <v>Call Center</v>
      </c>
      <c r="D37" s="18" t="s">
        <v>38</v>
      </c>
      <c r="E37"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37" s="18">
        <f>IFERROR(
  INDEX(TblCadastro[JORNADA ATUAL (h/dia)],
    MATCH(TblApuracao[[#This Row],[COLABORADOR]],TblCadastro[NOME COMPLETO],0)
  ),
  ""
)</f>
        <v>5</v>
      </c>
      <c r="G37" s="18" t="str">
        <f>IFERROR(
  INDEX(TblCadastro[TRABALHA SÁB?],
    MATCH(TblApuracao[[#This Row],[COLABORADOR]],TblCadastro[NOME COMPLETO],0)
  ),
  ""
)</f>
        <v>Sim</v>
      </c>
      <c r="H3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-0.19444444444444445</v>
      </c>
      <c r="I37" s="18" t="s">
        <v>29</v>
      </c>
      <c r="J37" s="18" t="s">
        <v>138</v>
      </c>
      <c r="K37" s="18" t="s">
        <v>29</v>
      </c>
      <c r="L37" s="21">
        <f>TblApuracao[[#This Row],[HRS EXTRAS (h:mm)]]-TblApuracao[[#This Row],[FALTAS/ATRASOS (h:mm)]]+TblApuracao[[#This Row],[AJUSTE MANUAL (h:mm)]]</f>
        <v>-1.4583333333333333</v>
      </c>
      <c r="M37" s="21">
        <f>SUMPRODUCT((TblApuracao[COLABORADOR]=TblApuracao[[#This Row],[COLABORADOR]])*(TblApuracao[COMPETÊNCIA]&lt;=TblApuracao[[#This Row],[COMPETÊNCIA]])*TblApuracao[HRS EXTRAS (h:mm)])</f>
        <v>0</v>
      </c>
      <c r="N37" s="21">
        <f>SUMPRODUCT((TblApuracao[COLABORADOR]=TblApuracao[[#This Row],[COLABORADOR]])*(TblApuracao[COMPETÊNCIA]&lt;=TblApuracao[[#This Row],[COMPETÊNCIA]])*TblApuracao[FALTAS/ATRASOS (h:mm)])</f>
        <v>1.6527777777777777</v>
      </c>
      <c r="O37" s="21">
        <f>TblApuracao[[#This Row],[SALDO ANT. (h:mm)]]+TblApuracao[[#This Row],[SALDO MÊS (h:mm)]]</f>
        <v>-1.6527777777777777</v>
      </c>
      <c r="P37" s="26" t="s">
        <v>139</v>
      </c>
      <c r="Q37" s="26" t="s">
        <v>41</v>
      </c>
      <c r="R37" s="27" t="s">
        <v>140</v>
      </c>
      <c r="S37" s="24" t="str">
        <f>TblApuracao[[#This Row],[COLABORADOR]]&amp;TblApuracao[[#This Row],[COMPETÊNCIA]]</f>
        <v>Matheus Silva de Sousa2025-08</v>
      </c>
      <c r="T37" s="24">
        <f>ROW(TblApuracao[[#Headers],[COMPETÊNCIA]])</f>
        <v>2</v>
      </c>
      <c r="U37" s="24" t="str">
        <f>TblApuracao[[#This Row],[COLABORADOR]]&amp;TblApuracao[[#This Row],[COMPETÊNCIA]]</f>
        <v>Matheus Silva de Sousa2025-08</v>
      </c>
      <c r="V37" s="24" t="str">
        <f>INDEX(TblApuracao[COMPETÊNCIA],1)</f>
        <v>2026-03</v>
      </c>
      <c r="W37" s="25">
        <f>SUMPRODUCT((TblApuracao[COLABORADOR]="Emanuelly Ribeiro de Aguiar")*(TblApuracao[COMPETÊNCIA]&lt;="2025-09")*(TblApuracao[SALDO MÊS (h:mm)]&gt;0)*TblApuracao[SALDO MÊS (h:mm)])</f>
        <v>0.6875</v>
      </c>
    </row>
    <row r="38" spans="1:23" ht="24" customHeight="1" x14ac:dyDescent="0.25">
      <c r="A38" s="18">
        <f t="shared" si="0"/>
        <v>36</v>
      </c>
      <c r="B38" s="19" t="s">
        <v>134</v>
      </c>
      <c r="C38" s="19" t="str">
        <f>IFERROR(
  INDEX(TblCadastro[SETOR],
    MATCH(TblApuracao[[#This Row],[COLABORADOR]],TblCadastro[NOME COMPLETO],0)
  ),
  "Não cadastrado"
)</f>
        <v>Call Center</v>
      </c>
      <c r="D38" s="18" t="s">
        <v>43</v>
      </c>
      <c r="E38"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38" s="18">
        <f>IFERROR(
  INDEX(TblCadastro[JORNADA ATUAL (h/dia)],
    MATCH(TblApuracao[[#This Row],[COLABORADOR]],TblCadastro[NOME COMPLETO],0)
  ),
  ""
)</f>
        <v>5</v>
      </c>
      <c r="G38" s="18" t="str">
        <f>IFERROR(
  INDEX(TblCadastro[TRABALHA SÁB?],
    MATCH(TblApuracao[[#This Row],[COLABORADOR]],TblCadastro[NOME COMPLETO],0)
  ),
  ""
)</f>
        <v>Sim</v>
      </c>
      <c r="H3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-1.6527777777777777</v>
      </c>
      <c r="I38" s="18" t="s">
        <v>141</v>
      </c>
      <c r="J38" s="18" t="s">
        <v>29</v>
      </c>
      <c r="K38" s="18" t="s">
        <v>29</v>
      </c>
      <c r="L38" s="21">
        <f>TblApuracao[[#This Row],[HRS EXTRAS (h:mm)]]-TblApuracao[[#This Row],[FALTAS/ATRASOS (h:mm)]]+TblApuracao[[#This Row],[AJUSTE MANUAL (h:mm)]]</f>
        <v>0.41666666666666669</v>
      </c>
      <c r="M38" s="21">
        <f>SUMPRODUCT((TblApuracao[COLABORADOR]=TblApuracao[[#This Row],[COLABORADOR]])*(TblApuracao[COMPETÊNCIA]&lt;=TblApuracao[[#This Row],[COMPETÊNCIA]])*TblApuracao[HRS EXTRAS (h:mm)])</f>
        <v>0.41666666666666669</v>
      </c>
      <c r="N38" s="21">
        <f>SUMPRODUCT((TblApuracao[COLABORADOR]=TblApuracao[[#This Row],[COLABORADOR]])*(TblApuracao[COMPETÊNCIA]&lt;=TblApuracao[[#This Row],[COMPETÊNCIA]])*TblApuracao[FALTAS/ATRASOS (h:mm)])</f>
        <v>1.6527777777777777</v>
      </c>
      <c r="O38" s="21">
        <f>TblApuracao[[#This Row],[SALDO ANT. (h:mm)]]+TblApuracao[[#This Row],[SALDO MÊS (h:mm)]]</f>
        <v>-1.2361111111111109</v>
      </c>
      <c r="P38" s="28" t="s">
        <v>142</v>
      </c>
      <c r="Q38" s="28" t="s">
        <v>46</v>
      </c>
      <c r="R38" s="29" t="s">
        <v>143</v>
      </c>
      <c r="S38" s="24" t="str">
        <f>TblApuracao[[#This Row],[COLABORADOR]]&amp;TblApuracao[[#This Row],[COMPETÊNCIA]]</f>
        <v>Matheus Silva de Sousa2025-09</v>
      </c>
      <c r="T38" s="24">
        <f>ROW(TblApuracao[[#Headers],[COMPETÊNCIA]])</f>
        <v>2</v>
      </c>
      <c r="U38" s="24" t="str">
        <f>TblApuracao[[#This Row],[COLABORADOR]]&amp;TblApuracao[[#This Row],[COMPETÊNCIA]]</f>
        <v>Matheus Silva de Sousa2025-09</v>
      </c>
      <c r="V38" s="24" t="str">
        <f>INDEX(TblApuracao[COMPETÊNCIA],1)</f>
        <v>2026-03</v>
      </c>
      <c r="W38" s="25">
        <f>SUMPRODUCT((TblApuracao[COLABORADOR]="Emanuelly Ribeiro de Aguiar")*(TblApuracao[COMPETÊNCIA]&lt;="2025-09")*(TblApuracao[SALDO MÊS (h:mm)]&gt;0)*TblApuracao[SALDO MÊS (h:mm)])</f>
        <v>0.6875</v>
      </c>
    </row>
    <row r="39" spans="1:23" ht="24" customHeight="1" x14ac:dyDescent="0.25">
      <c r="A39" s="18">
        <f t="shared" si="0"/>
        <v>37</v>
      </c>
      <c r="B39" s="19" t="s">
        <v>134</v>
      </c>
      <c r="C39" s="19" t="str">
        <f>IFERROR(
  INDEX(TblCadastro[SETOR],
    MATCH(TblApuracao[[#This Row],[COLABORADOR]],TblCadastro[NOME COMPLETO],0)
  ),
  "Não cadastrado"
)</f>
        <v>Call Center</v>
      </c>
      <c r="D39" s="18" t="s">
        <v>48</v>
      </c>
      <c r="E39"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2025-10</v>
      </c>
      <c r="F39" s="18">
        <f>IFERROR(
  INDEX(TblCadastro[JORNADA ATUAL (h/dia)],
    MATCH(TblApuracao[[#This Row],[COLABORADOR]],TblCadastro[NOME COMPLETO],0)
  ),
  ""
)</f>
        <v>5</v>
      </c>
      <c r="G39" s="18" t="str">
        <f>IFERROR(
  INDEX(TblCadastro[TRABALHA SÁB?],
    MATCH(TblApuracao[[#This Row],[COLABORADOR]],TblCadastro[NOME COMPLETO],0)
  ),
  ""
)</f>
        <v>Sim</v>
      </c>
      <c r="H3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-1.2361111111111109</v>
      </c>
      <c r="I39" s="18" t="s">
        <v>144</v>
      </c>
      <c r="J39" s="18" t="s">
        <v>93</v>
      </c>
      <c r="K39" s="18" t="s">
        <v>29</v>
      </c>
      <c r="L39" s="21">
        <f>TblApuracao[[#This Row],[HRS EXTRAS (h:mm)]]-TblApuracao[[#This Row],[FALTAS/ATRASOS (h:mm)]]+TblApuracao[[#This Row],[AJUSTE MANUAL (h:mm)]]</f>
        <v>4.1666666666666657E-2</v>
      </c>
      <c r="M39" s="21">
        <f>SUMPRODUCT((TblApuracao[COLABORADOR]=TblApuracao[[#This Row],[COLABORADOR]])*(TblApuracao[COMPETÊNCIA]&lt;=TblApuracao[[#This Row],[COMPETÊNCIA]])*TblApuracao[HRS EXTRAS (h:mm)])</f>
        <v>0.66666666666666674</v>
      </c>
      <c r="N39" s="21">
        <f>SUMPRODUCT((TblApuracao[COLABORADOR]=TblApuracao[[#This Row],[COLABORADOR]])*(TblApuracao[COMPETÊNCIA]&lt;=TblApuracao[[#This Row],[COMPETÊNCIA]])*TblApuracao[FALTAS/ATRASOS (h:mm)])</f>
        <v>1.8611111111111109</v>
      </c>
      <c r="O39" s="21">
        <f>TblApuracao[[#This Row],[SALDO ANT. (h:mm)]]+TblApuracao[[#This Row],[SALDO MÊS (h:mm)]]</f>
        <v>-1.1944444444444442</v>
      </c>
      <c r="P39" s="26" t="s">
        <v>145</v>
      </c>
      <c r="Q39" s="26" t="s">
        <v>41</v>
      </c>
      <c r="R39" s="27" t="s">
        <v>146</v>
      </c>
      <c r="S39" s="24" t="str">
        <f>TblApuracao[[#This Row],[COLABORADOR]]&amp;TblApuracao[[#This Row],[COMPETÊNCIA]]</f>
        <v>Matheus Silva de Sousa2025-10</v>
      </c>
      <c r="T39" s="24">
        <f>ROW(TblApuracao[[#Headers],[COMPETÊNCIA]])</f>
        <v>2</v>
      </c>
      <c r="U39" s="24" t="str">
        <f>TblApuracao[[#This Row],[COLABORADOR]]&amp;TblApuracao[[#This Row],[COMPETÊNCIA]]</f>
        <v>Matheus Silva de Sousa2025-10</v>
      </c>
      <c r="V39" s="24" t="str">
        <f>INDEX(TblApuracao[COMPETÊNCIA],1)</f>
        <v>2026-03</v>
      </c>
      <c r="W39" s="25">
        <f>SUMPRODUCT((TblApuracao[COLABORADOR]="Emanuelly Ribeiro de Aguiar")*(TblApuracao[COMPETÊNCIA]&lt;="2025-09")*(TblApuracao[SALDO MÊS (h:mm)]&gt;0)*TblApuracao[SALDO MÊS (h:mm)])</f>
        <v>0.6875</v>
      </c>
    </row>
    <row r="40" spans="1:23" ht="24" customHeight="1" x14ac:dyDescent="0.25">
      <c r="A40" s="18">
        <f t="shared" si="0"/>
        <v>38</v>
      </c>
      <c r="B40" s="19" t="s">
        <v>134</v>
      </c>
      <c r="C40" s="19" t="str">
        <f>IFERROR(
  INDEX(TblCadastro[SETOR],
    MATCH(TblApuracao[[#This Row],[COLABORADOR]],TblCadastro[NOME COMPLETO],0)
  ),
  "Não cadastrado"
)</f>
        <v>Call Center</v>
      </c>
      <c r="D40" s="18" t="s">
        <v>51</v>
      </c>
      <c r="E40"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2025-11</v>
      </c>
      <c r="F40" s="18">
        <f>IFERROR(
  INDEX(TblCadastro[JORNADA ATUAL (h/dia)],
    MATCH(TblApuracao[[#This Row],[COLABORADOR]],TblCadastro[NOME COMPLETO],0)
  ),
  ""
)</f>
        <v>5</v>
      </c>
      <c r="G40" s="18" t="str">
        <f>IFERROR(
  INDEX(TblCadastro[TRABALHA SÁB?],
    MATCH(TblApuracao[[#This Row],[COLABORADOR]],TblCadastro[NOME COMPLETO],0)
  ),
  ""
)</f>
        <v>Sim</v>
      </c>
      <c r="H4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-1.1944444444444442</v>
      </c>
      <c r="I40" s="18" t="s">
        <v>147</v>
      </c>
      <c r="J40" s="18" t="s">
        <v>147</v>
      </c>
      <c r="K40" s="18" t="s">
        <v>29</v>
      </c>
      <c r="L40" s="21">
        <f>TblApuracao[[#This Row],[HRS EXTRAS (h:mm)]]-TblApuracao[[#This Row],[FALTAS/ATRASOS (h:mm)]]+TblApuracao[[#This Row],[AJUSTE MANUAL (h:mm)]]</f>
        <v>0</v>
      </c>
      <c r="M40" s="21">
        <f>SUMPRODUCT((TblApuracao[COLABORADOR]=TblApuracao[[#This Row],[COLABORADOR]])*(TblApuracao[COMPETÊNCIA]&lt;=TblApuracao[[#This Row],[COMPETÊNCIA]])*TblApuracao[HRS EXTRAS (h:mm)])</f>
        <v>1.2916666666666667</v>
      </c>
      <c r="N40" s="21">
        <f>SUMPRODUCT((TblApuracao[COLABORADOR]=TblApuracao[[#This Row],[COLABORADOR]])*(TblApuracao[COMPETÊNCIA]&lt;=TblApuracao[[#This Row],[COMPETÊNCIA]])*TblApuracao[FALTAS/ATRASOS (h:mm)])</f>
        <v>2.4861111111111107</v>
      </c>
      <c r="O40" s="21">
        <f>TblApuracao[[#This Row],[SALDO ANT. (h:mm)]]+TblApuracao[[#This Row],[SALDO MÊS (h:mm)]]</f>
        <v>-1.1944444444444442</v>
      </c>
      <c r="P40" s="26" t="s">
        <v>148</v>
      </c>
      <c r="Q40" s="26" t="s">
        <v>41</v>
      </c>
      <c r="R40" s="27" t="s">
        <v>149</v>
      </c>
      <c r="S40" s="24" t="str">
        <f>TblApuracao[[#This Row],[COLABORADOR]]&amp;TblApuracao[[#This Row],[COMPETÊNCIA]]</f>
        <v>Matheus Silva de Sousa2025-11</v>
      </c>
      <c r="T40" s="24">
        <f>ROW(TblApuracao[[#Headers],[COMPETÊNCIA]])</f>
        <v>2</v>
      </c>
      <c r="U40" s="24" t="str">
        <f>TblApuracao[[#This Row],[COLABORADOR]]&amp;TblApuracao[[#This Row],[COMPETÊNCIA]]</f>
        <v>Matheus Silva de Sousa2025-11</v>
      </c>
      <c r="V40" s="24" t="str">
        <f>INDEX(TblApuracao[COMPETÊNCIA],1)</f>
        <v>2026-03</v>
      </c>
      <c r="W40" s="25">
        <f>SUMPRODUCT((TblApuracao[COLABORADOR]="Emanuelly Ribeiro de Aguiar")*(TblApuracao[COMPETÊNCIA]&lt;="2025-09")*(TblApuracao[SALDO MÊS (h:mm)]&gt;0)*TblApuracao[SALDO MÊS (h:mm)])</f>
        <v>0.6875</v>
      </c>
    </row>
    <row r="41" spans="1:23" ht="36" customHeight="1" x14ac:dyDescent="0.25">
      <c r="A41" s="18">
        <f t="shared" si="0"/>
        <v>39</v>
      </c>
      <c r="B41" s="19" t="s">
        <v>134</v>
      </c>
      <c r="C41" s="19" t="str">
        <f>IFERROR(
  INDEX(TblCadastro[SETOR],
    MATCH(TblApuracao[[#This Row],[COLABORADOR]],TblCadastro[NOME COMPLETO],0)
  ),
  "Não cadastrado"
)</f>
        <v>Call Center</v>
      </c>
      <c r="D41" s="18" t="s">
        <v>57</v>
      </c>
      <c r="E41"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2025-12</v>
      </c>
      <c r="F41" s="18">
        <f>IFERROR(
  INDEX(TblCadastro[JORNADA ATUAL (h/dia)],
    MATCH(TblApuracao[[#This Row],[COLABORADOR]],TblCadastro[NOME COMPLETO],0)
  ),
  ""
)</f>
        <v>5</v>
      </c>
      <c r="G41" s="18" t="str">
        <f>IFERROR(
  INDEX(TblCadastro[TRABALHA SÁB?],
    MATCH(TblApuracao[[#This Row],[COLABORADOR]],TblCadastro[NOME COMPLETO],0)
  ),
  ""
)</f>
        <v>Sim</v>
      </c>
      <c r="H4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-1.1944444444444442</v>
      </c>
      <c r="I41" s="18" t="s">
        <v>150</v>
      </c>
      <c r="J41" s="18" t="s">
        <v>151</v>
      </c>
      <c r="K41" s="18" t="s">
        <v>29</v>
      </c>
      <c r="L41" s="21">
        <f>TblApuracao[[#This Row],[HRS EXTRAS (h:mm)]]-TblApuracao[[#This Row],[FALTAS/ATRASOS (h:mm)]]+TblApuracao[[#This Row],[AJUSTE MANUAL (h:mm)]]</f>
        <v>1.1111111111111127E-2</v>
      </c>
      <c r="M41" s="21">
        <f>SUMPRODUCT((TblApuracao[COLABORADOR]=TblApuracao[[#This Row],[COLABORADOR]])*(TblApuracao[COMPETÊNCIA]&lt;=TblApuracao[[#This Row],[COMPETÊNCIA]])*TblApuracao[HRS EXTRAS (h:mm)])</f>
        <v>1.4625000000000001</v>
      </c>
      <c r="N41" s="21">
        <f>SUMPRODUCT((TblApuracao[COLABORADOR]=TblApuracao[[#This Row],[COLABORADOR]])*(TblApuracao[COMPETÊNCIA]&lt;=TblApuracao[[#This Row],[COMPETÊNCIA]])*TblApuracao[FALTAS/ATRASOS (h:mm)])</f>
        <v>2.645833333333333</v>
      </c>
      <c r="O41" s="21">
        <f>TblApuracao[[#This Row],[SALDO ANT. (h:mm)]]+TblApuracao[[#This Row],[SALDO MÊS (h:mm)]]</f>
        <v>-1.1833333333333331</v>
      </c>
      <c r="P41" s="32" t="s">
        <v>152</v>
      </c>
      <c r="Q41" s="32" t="s">
        <v>95</v>
      </c>
      <c r="R41" s="33" t="s">
        <v>153</v>
      </c>
      <c r="S41" s="24" t="str">
        <f>TblApuracao[[#This Row],[COLABORADOR]]&amp;TblApuracao[[#This Row],[COMPETÊNCIA]]</f>
        <v>Matheus Silva de Sousa2025-12</v>
      </c>
      <c r="T41" s="24">
        <f>ROW(TblApuracao[[#Headers],[COMPETÊNCIA]])</f>
        <v>2</v>
      </c>
      <c r="U41" s="24" t="str">
        <f>TblApuracao[[#This Row],[COLABORADOR]]&amp;TblApuracao[[#This Row],[COMPETÊNCIA]]</f>
        <v>Matheus Silva de Sousa2025-12</v>
      </c>
      <c r="V41" s="24" t="str">
        <f>INDEX(TblApuracao[COMPETÊNCIA],1)</f>
        <v>2026-03</v>
      </c>
      <c r="W41" s="25">
        <f>SUMPRODUCT((TblApuracao[COLABORADOR]="Emanuelly Ribeiro de Aguiar")*(TblApuracao[COMPETÊNCIA]&lt;="2025-09")*(TblApuracao[SALDO MÊS (h:mm)]&gt;0)*TblApuracao[SALDO MÊS (h:mm)])</f>
        <v>0.6875</v>
      </c>
    </row>
    <row r="42" spans="1:23" ht="24" customHeight="1" x14ac:dyDescent="0.25">
      <c r="A42" s="18">
        <f t="shared" si="0"/>
        <v>40</v>
      </c>
      <c r="B42" s="19" t="s">
        <v>134</v>
      </c>
      <c r="C42" s="19" t="str">
        <f>IFERROR(
  INDEX(TblCadastro[SETOR],
    MATCH(TblApuracao[[#This Row],[COLABORADOR]],TblCadastro[NOME COMPLETO],0)
  ),
  "Não cadastrado"
)</f>
        <v>Call Center</v>
      </c>
      <c r="D42" s="18" t="s">
        <v>60</v>
      </c>
      <c r="E42"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2026-01</v>
      </c>
      <c r="F42" s="18">
        <f>IFERROR(
  INDEX(TblCadastro[JORNADA ATUAL (h/dia)],
    MATCH(TblApuracao[[#This Row],[COLABORADOR]],TblCadastro[NOME COMPLETO],0)
  ),
  ""
)</f>
        <v>5</v>
      </c>
      <c r="G42" s="18" t="str">
        <f>IFERROR(
  INDEX(TblCadastro[TRABALHA SÁB?],
    MATCH(TblApuracao[[#This Row],[COLABORADOR]],TblCadastro[NOME COMPLETO],0)
  ),
  ""
)</f>
        <v>Sim</v>
      </c>
      <c r="H4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-1.1833333333333331</v>
      </c>
      <c r="I42" s="18" t="s">
        <v>29</v>
      </c>
      <c r="J42" s="18" t="s">
        <v>29</v>
      </c>
      <c r="K42" s="18" t="s">
        <v>29</v>
      </c>
      <c r="L42" s="21">
        <f>TblApuracao[[#This Row],[HRS EXTRAS (h:mm)]]-TblApuracao[[#This Row],[FALTAS/ATRASOS (h:mm)]]+TblApuracao[[#This Row],[AJUSTE MANUAL (h:mm)]]</f>
        <v>0</v>
      </c>
      <c r="M42" s="21">
        <f>SUMPRODUCT((TblApuracao[COLABORADOR]=TblApuracao[[#This Row],[COLABORADOR]])*(TblApuracao[COMPETÊNCIA]&lt;=TblApuracao[[#This Row],[COMPETÊNCIA]])*TblApuracao[HRS EXTRAS (h:mm)])</f>
        <v>1.4625000000000001</v>
      </c>
      <c r="N42" s="21">
        <f>SUMPRODUCT((TblApuracao[COLABORADOR]=TblApuracao[[#This Row],[COLABORADOR]])*(TblApuracao[COMPETÊNCIA]&lt;=TblApuracao[[#This Row],[COMPETÊNCIA]])*TblApuracao[FALTAS/ATRASOS (h:mm)])</f>
        <v>2.645833333333333</v>
      </c>
      <c r="O42" s="21">
        <f>TblApuracao[[#This Row],[SALDO ANT. (h:mm)]]+TblApuracao[[#This Row],[SALDO MÊS (h:mm)]]</f>
        <v>-1.1833333333333331</v>
      </c>
      <c r="P42" s="22" t="s">
        <v>154</v>
      </c>
      <c r="Q42" s="22" t="s">
        <v>36</v>
      </c>
      <c r="R42" s="23" t="s">
        <v>155</v>
      </c>
      <c r="S42" s="24" t="str">
        <f>TblApuracao[[#This Row],[COLABORADOR]]&amp;TblApuracao[[#This Row],[COMPETÊNCIA]]</f>
        <v>Matheus Silva de Sousa2026-01</v>
      </c>
      <c r="T42" s="24">
        <f>ROW(TblApuracao[[#Headers],[COMPETÊNCIA]])</f>
        <v>2</v>
      </c>
      <c r="U42" s="24" t="str">
        <f>TblApuracao[[#This Row],[COLABORADOR]]&amp;TblApuracao[[#This Row],[COMPETÊNCIA]]</f>
        <v>Matheus Silva de Sousa2026-01</v>
      </c>
      <c r="V42" s="24" t="str">
        <f>INDEX(TblApuracao[COMPETÊNCIA],1)</f>
        <v>2026-03</v>
      </c>
      <c r="W42" s="25">
        <f>SUMPRODUCT((TblApuracao[COLABORADOR]="Emanuelly Ribeiro de Aguiar")*(TblApuracao[COMPETÊNCIA]&lt;="2025-09")*(TblApuracao[SALDO MÊS (h:mm)]&gt;0)*TblApuracao[SALDO MÊS (h:mm)])</f>
        <v>0.6875</v>
      </c>
    </row>
    <row r="43" spans="1:23" ht="15" customHeight="1" x14ac:dyDescent="0.25">
      <c r="A43" s="18">
        <f t="shared" si="0"/>
        <v>41</v>
      </c>
      <c r="B43" s="19" t="s">
        <v>134</v>
      </c>
      <c r="C43" s="19" t="str">
        <f>IFERROR(
  INDEX(TblCadastro[SETOR],
    MATCH(TblApuracao[[#This Row],[COLABORADOR]],TblCadastro[NOME COMPLETO],0)
  ),
  "Não cadastrado"
)</f>
        <v>Call Center</v>
      </c>
      <c r="D43" s="18" t="s">
        <v>63</v>
      </c>
      <c r="E43"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2026-02</v>
      </c>
      <c r="F43" s="18">
        <f>IFERROR(
  INDEX(TblCadastro[JORNADA ATUAL (h/dia)],
    MATCH(TblApuracao[[#This Row],[COLABORADOR]],TblCadastro[NOME COMPLETO],0)
  ),
  ""
)</f>
        <v>5</v>
      </c>
      <c r="G43" s="18" t="str">
        <f>IFERROR(
  INDEX(TblCadastro[TRABALHA SÁB?],
    MATCH(TblApuracao[[#This Row],[COLABORADOR]],TblCadastro[NOME COMPLETO],0)
  ),
  ""
)</f>
        <v>Sim</v>
      </c>
      <c r="H4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-1.1833333333333331</v>
      </c>
      <c r="I43" s="18" t="s">
        <v>29</v>
      </c>
      <c r="J43" s="18" t="s">
        <v>29</v>
      </c>
      <c r="K43" s="18" t="s">
        <v>29</v>
      </c>
      <c r="L43" s="21">
        <f>TblApuracao[[#This Row],[HRS EXTRAS (h:mm)]]-TblApuracao[[#This Row],[FALTAS/ATRASOS (h:mm)]]+TblApuracao[[#This Row],[AJUSTE MANUAL (h:mm)]]</f>
        <v>0</v>
      </c>
      <c r="M43" s="21">
        <f>SUMPRODUCT((TblApuracao[COLABORADOR]=TblApuracao[[#This Row],[COLABORADOR]])*(TblApuracao[COMPETÊNCIA]&lt;=TblApuracao[[#This Row],[COMPETÊNCIA]])*TblApuracao[HRS EXTRAS (h:mm)])</f>
        <v>1.4625000000000001</v>
      </c>
      <c r="N43" s="21">
        <f>SUMPRODUCT((TblApuracao[COLABORADOR]=TblApuracao[[#This Row],[COLABORADOR]])*(TblApuracao[COMPETÊNCIA]&lt;=TblApuracao[[#This Row],[COMPETÊNCIA]])*TblApuracao[FALTAS/ATRASOS (h:mm)])</f>
        <v>2.645833333333333</v>
      </c>
      <c r="O43" s="21">
        <f>TblApuracao[[#This Row],[SALDO ANT. (h:mm)]]+TblApuracao[[#This Row],[SALDO MÊS (h:mm)]]</f>
        <v>-1.1833333333333331</v>
      </c>
      <c r="P43" s="22" t="s">
        <v>156</v>
      </c>
      <c r="Q43" s="22" t="s">
        <v>36</v>
      </c>
      <c r="R43" s="23" t="s">
        <v>157</v>
      </c>
      <c r="S43" s="24" t="str">
        <f>TblApuracao[[#This Row],[COLABORADOR]]&amp;TblApuracao[[#This Row],[COMPETÊNCIA]]</f>
        <v>Matheus Silva de Sousa2026-02</v>
      </c>
      <c r="T43" s="24">
        <f>ROW(TblApuracao[[#Headers],[COMPETÊNCIA]])</f>
        <v>2</v>
      </c>
      <c r="U43" s="24" t="str">
        <f>TblApuracao[[#This Row],[COLABORADOR]]&amp;TblApuracao[[#This Row],[COMPETÊNCIA]]</f>
        <v>Matheus Silva de Sousa2026-02</v>
      </c>
      <c r="V43" s="24" t="str">
        <f>INDEX(TblApuracao[COMPETÊNCIA],1)</f>
        <v>2026-03</v>
      </c>
      <c r="W43" s="25">
        <f>SUMPRODUCT((TblApuracao[COLABORADOR]="Emanuelly Ribeiro de Aguiar")*(TblApuracao[COMPETÊNCIA]&lt;="2025-09")*(TblApuracao[SALDO MÊS (h:mm)]&gt;0)*TblApuracao[SALDO MÊS (h:mm)])</f>
        <v>0.6875</v>
      </c>
    </row>
    <row r="44" spans="1:23" ht="15" customHeight="1" x14ac:dyDescent="0.25">
      <c r="A44" s="18">
        <f t="shared" si="0"/>
        <v>42</v>
      </c>
      <c r="B44" s="19" t="s">
        <v>134</v>
      </c>
      <c r="C44" s="19" t="str">
        <f>IFERROR(
  INDEX(TblCadastro[SETOR],
    MATCH(TblApuracao[[#This Row],[COLABORADOR]],TblCadastro[NOME COMPLETO],0)
  ),
  "Não cadastrado"
)</f>
        <v>Call Center</v>
      </c>
      <c r="D44" s="18" t="s">
        <v>28</v>
      </c>
      <c r="E44" s="18"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44" s="18">
        <f>IFERROR(
  INDEX(TblCadastro[JORNADA ATUAL (h/dia)],
    MATCH(TblApuracao[[#This Row],[COLABORADOR]],TblCadastro[NOME COMPLETO],0)
  ),
  ""
)</f>
        <v>5</v>
      </c>
      <c r="G44" s="18" t="str">
        <f>IFERROR(
  INDEX(TblCadastro[TRABALHA SÁB?],
    MATCH(TblApuracao[[#This Row],[COLABORADOR]],TblCadastro[NOME COMPLETO],0)
  ),
  ""
)</f>
        <v>Sim</v>
      </c>
      <c r="H4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-1.1833333333333331</v>
      </c>
      <c r="I44" s="18" t="s">
        <v>29</v>
      </c>
      <c r="J44" s="18" t="s">
        <v>29</v>
      </c>
      <c r="K44" s="18" t="s">
        <v>29</v>
      </c>
      <c r="L44" s="21">
        <f>TblApuracao[[#This Row],[HRS EXTRAS (h:mm)]]-TblApuracao[[#This Row],[FALTAS/ATRASOS (h:mm)]]+TblApuracao[[#This Row],[AJUSTE MANUAL (h:mm)]]</f>
        <v>0</v>
      </c>
      <c r="M44" s="21">
        <f>SUMPRODUCT((TblApuracao[COLABORADOR]=TblApuracao[[#This Row],[COLABORADOR]])*(TblApuracao[COMPETÊNCIA]&lt;=TblApuracao[[#This Row],[COMPETÊNCIA]])*TblApuracao[HRS EXTRAS (h:mm)])</f>
        <v>1.4625000000000001</v>
      </c>
      <c r="N44" s="21">
        <f>SUMPRODUCT((TblApuracao[COLABORADOR]=TblApuracao[[#This Row],[COLABORADOR]])*(TblApuracao[COMPETÊNCIA]&lt;=TblApuracao[[#This Row],[COMPETÊNCIA]])*TblApuracao[FALTAS/ATRASOS (h:mm)])</f>
        <v>2.645833333333333</v>
      </c>
      <c r="O44" s="21">
        <f>TblApuracao[[#This Row],[SALDO ANT. (h:mm)]]+TblApuracao[[#This Row],[SALDO MÊS (h:mm)]]</f>
        <v>-1.1833333333333331</v>
      </c>
      <c r="P44" s="22" t="s">
        <v>158</v>
      </c>
      <c r="Q44" s="22" t="s">
        <v>36</v>
      </c>
      <c r="R44" s="23" t="s">
        <v>159</v>
      </c>
      <c r="S44" s="24" t="str">
        <f>TblApuracao[[#This Row],[COLABORADOR]]&amp;TblApuracao[[#This Row],[COMPETÊNCIA]]</f>
        <v>Matheus Silva de Sousa2026-03</v>
      </c>
      <c r="T44" s="24">
        <f>ROW(TblApuracao[[#Headers],[COMPETÊNCIA]])</f>
        <v>2</v>
      </c>
      <c r="U44" s="24" t="str">
        <f>TblApuracao[[#This Row],[COLABORADOR]]&amp;TblApuracao[[#This Row],[COMPETÊNCIA]]</f>
        <v>Matheus Silva de Sousa2026-03</v>
      </c>
      <c r="V44" s="24" t="str">
        <f>INDEX(TblApuracao[COMPETÊNCIA],1)</f>
        <v>2026-03</v>
      </c>
      <c r="W44" s="25">
        <f>SUMPRODUCT((TblApuracao[COLABORADOR]="Emanuelly Ribeiro de Aguiar")*(TblApuracao[COMPETÊNCIA]&lt;="2025-09")*(TblApuracao[SALDO MÊS (h:mm)]&gt;0)*TblApuracao[SALDO MÊS (h:mm)])</f>
        <v>0.6875</v>
      </c>
    </row>
    <row r="45" spans="1:23" ht="15" customHeight="1" x14ac:dyDescent="0.25">
      <c r="A45" s="18">
        <f t="shared" si="0"/>
        <v>43</v>
      </c>
      <c r="B45" s="34"/>
      <c r="C45" s="19" t="str">
        <f>IFERROR(
  INDEX(TblCadastro[SETOR],
    MATCH(TblApuracao[[#This Row],[COLABORADOR]],TblCadastro[NOME COMPLETO],0)
  ),
  "Não cadastrado"
)</f>
        <v>Não cadastrado</v>
      </c>
      <c r="D45" s="34"/>
      <c r="E4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5" s="18" t="str">
        <f>IFERROR(
  INDEX(TblCadastro[JORNADA ATUAL (h/dia)],
    MATCH(TblApuracao[[#This Row],[COLABORADOR]],TblCadastro[NOME COMPLETO],0)
  ),
  ""
)</f>
        <v/>
      </c>
      <c r="G45" s="18" t="str">
        <f>IFERROR(
  INDEX(TblCadastro[TRABALHA SÁB?],
    MATCH(TblApuracao[[#This Row],[COLABORADOR]],TblCadastro[NOME COMPLETO],0)
  ),
  ""
)</f>
        <v/>
      </c>
      <c r="H4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5" s="34"/>
      <c r="J45" s="34"/>
      <c r="K45" s="34"/>
      <c r="L45" s="21">
        <f>TblApuracao[[#This Row],[HRS EXTRAS (h:mm)]]-TblApuracao[[#This Row],[FALTAS/ATRASOS (h:mm)]]+TblApuracao[[#This Row],[AJUSTE MANUAL (h:mm)]]</f>
        <v>0</v>
      </c>
      <c r="M45" s="21">
        <f>SUMPRODUCT((TblApuracao[COLABORADOR]=TblApuracao[[#This Row],[COLABORADOR]])*(TblApuracao[COMPETÊNCIA]&lt;=TblApuracao[[#This Row],[COMPETÊNCIA]])*TblApuracao[HRS EXTRAS (h:mm)])</f>
        <v>0</v>
      </c>
      <c r="N45" s="21">
        <f>SUMPRODUCT((TblApuracao[COLABORADOR]=TblApuracao[[#This Row],[COLABORADOR]])*(TblApuracao[COMPETÊNCIA]&lt;=TblApuracao[[#This Row],[COMPETÊNCIA]])*TblApuracao[FALTAS/ATRASOS (h:mm)])</f>
        <v>0</v>
      </c>
      <c r="O45" s="21">
        <f>TblApuracao[[#This Row],[SALDO ANT. (h:mm)]]+TblApuracao[[#This Row],[SALDO MÊS (h:mm)]]</f>
        <v>0</v>
      </c>
      <c r="P45" s="24"/>
      <c r="Q45" s="24"/>
      <c r="R45" s="24"/>
      <c r="S45" s="24" t="str">
        <f>TblApuracao[[#This Row],[COLABORADOR]]&amp;TblApuracao[[#This Row],[COMPETÊNCIA]]</f>
        <v/>
      </c>
      <c r="T45" s="24">
        <f>ROW(TblApuracao[[#Headers],[COMPETÊNCIA]])</f>
        <v>2</v>
      </c>
      <c r="U45" s="24" t="str">
        <f>TblApuracao[[#This Row],[COLABORADOR]]&amp;TblApuracao[[#This Row],[COMPETÊNCIA]]</f>
        <v/>
      </c>
      <c r="V45" s="24" t="str">
        <f>INDEX(TblApuracao[COMPETÊNCIA],1)</f>
        <v>2026-03</v>
      </c>
      <c r="W45" s="25">
        <f>SUMPRODUCT((TblApuracao[COLABORADOR]="Emanuelly Ribeiro de Aguiar")*(TblApuracao[COMPETÊNCIA]&lt;="2025-09")*(TblApuracao[SALDO MÊS (h:mm)]&gt;0)*TblApuracao[SALDO MÊS (h:mm)])</f>
        <v>0.6875</v>
      </c>
    </row>
    <row r="46" spans="1:23" ht="15" customHeight="1" x14ac:dyDescent="0.25">
      <c r="A46" s="18">
        <f t="shared" si="0"/>
        <v>44</v>
      </c>
      <c r="B46" s="34"/>
      <c r="C46" s="19" t="str">
        <f>IFERROR(
  INDEX(TblCadastro[SETOR],
    MATCH(TblApuracao[[#This Row],[COLABORADOR]],TblCadastro[NOME COMPLETO],0)
  ),
  "Não cadastrado"
)</f>
        <v>Não cadastrado</v>
      </c>
      <c r="D46" s="34"/>
      <c r="E4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6" s="18" t="str">
        <f>IFERROR(
  INDEX(TblCadastro[JORNADA ATUAL (h/dia)],
    MATCH(TblApuracao[[#This Row],[COLABORADOR]],TblCadastro[NOME COMPLETO],0)
  ),
  ""
)</f>
        <v/>
      </c>
      <c r="G46" s="18" t="str">
        <f>IFERROR(
  INDEX(TblCadastro[TRABALHA SÁB?],
    MATCH(TblApuracao[[#This Row],[COLABORADOR]],TblCadastro[NOME COMPLETO],0)
  ),
  ""
)</f>
        <v/>
      </c>
      <c r="H4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6" s="34"/>
      <c r="J46" s="34"/>
      <c r="K46" s="34"/>
      <c r="L46" s="21">
        <f>TblApuracao[[#This Row],[HRS EXTRAS (h:mm)]]-TblApuracao[[#This Row],[FALTAS/ATRASOS (h:mm)]]+TblApuracao[[#This Row],[AJUSTE MANUAL (h:mm)]]</f>
        <v>0</v>
      </c>
      <c r="M46" s="21">
        <f>SUMPRODUCT((TblApuracao[COLABORADOR]=TblApuracao[[#This Row],[COLABORADOR]])*(TblApuracao[COMPETÊNCIA]&lt;=TblApuracao[[#This Row],[COMPETÊNCIA]])*TblApuracao[HRS EXTRAS (h:mm)])</f>
        <v>0</v>
      </c>
      <c r="N46" s="21">
        <f>SUMPRODUCT((TblApuracao[COLABORADOR]=TblApuracao[[#This Row],[COLABORADOR]])*(TblApuracao[COMPETÊNCIA]&lt;=TblApuracao[[#This Row],[COMPETÊNCIA]])*TblApuracao[FALTAS/ATRASOS (h:mm)])</f>
        <v>0</v>
      </c>
      <c r="O46" s="21">
        <f>TblApuracao[[#This Row],[SALDO ANT. (h:mm)]]+TblApuracao[[#This Row],[SALDO MÊS (h:mm)]]</f>
        <v>0</v>
      </c>
      <c r="P46" s="24"/>
      <c r="Q46" s="24"/>
      <c r="R46" s="24"/>
      <c r="S46" s="24" t="str">
        <f>TblApuracao[[#This Row],[COLABORADOR]]&amp;TblApuracao[[#This Row],[COMPETÊNCIA]]</f>
        <v/>
      </c>
      <c r="T46" s="24">
        <f>ROW(TblApuracao[[#Headers],[COMPETÊNCIA]])</f>
        <v>2</v>
      </c>
      <c r="U46" s="24" t="str">
        <f>TblApuracao[[#This Row],[COLABORADOR]]&amp;TblApuracao[[#This Row],[COMPETÊNCIA]]</f>
        <v/>
      </c>
      <c r="V46" s="24" t="str">
        <f>INDEX(TblApuracao[COMPETÊNCIA],1)</f>
        <v>2026-03</v>
      </c>
      <c r="W46" s="25">
        <f>SUMPRODUCT((TblApuracao[COLABORADOR]="Emanuelly Ribeiro de Aguiar")*(TblApuracao[COMPETÊNCIA]&lt;="2025-09")*(TblApuracao[SALDO MÊS (h:mm)]&gt;0)*TblApuracao[SALDO MÊS (h:mm)])</f>
        <v>0.6875</v>
      </c>
    </row>
    <row r="47" spans="1:23" ht="15" customHeight="1" x14ac:dyDescent="0.25">
      <c r="A47" s="18">
        <f t="shared" si="0"/>
        <v>45</v>
      </c>
      <c r="B47" s="34"/>
      <c r="C47" s="19" t="str">
        <f>IFERROR(
  INDEX(TblCadastro[SETOR],
    MATCH(TblApuracao[[#This Row],[COLABORADOR]],TblCadastro[NOME COMPLETO],0)
  ),
  "Não cadastrado"
)</f>
        <v>Não cadastrado</v>
      </c>
      <c r="D47" s="34"/>
      <c r="E4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7" s="18" t="str">
        <f>IFERROR(
  INDEX(TblCadastro[JORNADA ATUAL (h/dia)],
    MATCH(TblApuracao[[#This Row],[COLABORADOR]],TblCadastro[NOME COMPLETO],0)
  ),
  ""
)</f>
        <v/>
      </c>
      <c r="G47" s="18" t="str">
        <f>IFERROR(
  INDEX(TblCadastro[TRABALHA SÁB?],
    MATCH(TblApuracao[[#This Row],[COLABORADOR]],TblCadastro[NOME COMPLETO],0)
  ),
  ""
)</f>
        <v/>
      </c>
      <c r="H4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7" s="34"/>
      <c r="J47" s="34"/>
      <c r="K47" s="34"/>
      <c r="L47" s="21">
        <f>TblApuracao[[#This Row],[HRS EXTRAS (h:mm)]]-TblApuracao[[#This Row],[FALTAS/ATRASOS (h:mm)]]+TblApuracao[[#This Row],[AJUSTE MANUAL (h:mm)]]</f>
        <v>0</v>
      </c>
      <c r="M47" s="21">
        <f>SUMPRODUCT((TblApuracao[COLABORADOR]=TblApuracao[[#This Row],[COLABORADOR]])*(TblApuracao[COMPETÊNCIA]&lt;=TblApuracao[[#This Row],[COMPETÊNCIA]])*TblApuracao[HRS EXTRAS (h:mm)])</f>
        <v>0</v>
      </c>
      <c r="N47" s="21">
        <f>SUMPRODUCT((TblApuracao[COLABORADOR]=TblApuracao[[#This Row],[COLABORADOR]])*(TblApuracao[COMPETÊNCIA]&lt;=TblApuracao[[#This Row],[COMPETÊNCIA]])*TblApuracao[FALTAS/ATRASOS (h:mm)])</f>
        <v>0</v>
      </c>
      <c r="O47" s="21">
        <f>TblApuracao[[#This Row],[SALDO ANT. (h:mm)]]+TblApuracao[[#This Row],[SALDO MÊS (h:mm)]]</f>
        <v>0</v>
      </c>
      <c r="P47" s="24"/>
      <c r="Q47" s="24"/>
      <c r="R47" s="24"/>
      <c r="S47" s="24" t="str">
        <f>TblApuracao[[#This Row],[COLABORADOR]]&amp;TblApuracao[[#This Row],[COMPETÊNCIA]]</f>
        <v/>
      </c>
      <c r="T47" s="24">
        <f>ROW(TblApuracao[[#Headers],[COMPETÊNCIA]])</f>
        <v>2</v>
      </c>
      <c r="U47" s="24" t="str">
        <f>TblApuracao[[#This Row],[COLABORADOR]]&amp;TblApuracao[[#This Row],[COMPETÊNCIA]]</f>
        <v/>
      </c>
      <c r="V47" s="24" t="str">
        <f>INDEX(TblApuracao[COMPETÊNCIA],1)</f>
        <v>2026-03</v>
      </c>
      <c r="W47" s="25">
        <f>SUMPRODUCT((TblApuracao[COLABORADOR]="Emanuelly Ribeiro de Aguiar")*(TblApuracao[COMPETÊNCIA]&lt;="2025-09")*(TblApuracao[SALDO MÊS (h:mm)]&gt;0)*TblApuracao[SALDO MÊS (h:mm)])</f>
        <v>0.6875</v>
      </c>
    </row>
    <row r="48" spans="1:23" ht="15" customHeight="1" x14ac:dyDescent="0.25">
      <c r="A48" s="18">
        <f t="shared" si="0"/>
        <v>46</v>
      </c>
      <c r="B48" s="34"/>
      <c r="C48" s="19" t="str">
        <f>IFERROR(
  INDEX(TblCadastro[SETOR],
    MATCH(TblApuracao[[#This Row],[COLABORADOR]],TblCadastro[NOME COMPLETO],0)
  ),
  "Não cadastrado"
)</f>
        <v>Não cadastrado</v>
      </c>
      <c r="D48" s="34"/>
      <c r="E4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8" s="18" t="str">
        <f>IFERROR(
  INDEX(TblCadastro[JORNADA ATUAL (h/dia)],
    MATCH(TblApuracao[[#This Row],[COLABORADOR]],TblCadastro[NOME COMPLETO],0)
  ),
  ""
)</f>
        <v/>
      </c>
      <c r="G48" s="18" t="str">
        <f>IFERROR(
  INDEX(TblCadastro[TRABALHA SÁB?],
    MATCH(TblApuracao[[#This Row],[COLABORADOR]],TblCadastro[NOME COMPLETO],0)
  ),
  ""
)</f>
        <v/>
      </c>
      <c r="H4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8" s="34"/>
      <c r="J48" s="34"/>
      <c r="K48" s="34"/>
      <c r="L48" s="21">
        <f>TblApuracao[[#This Row],[HRS EXTRAS (h:mm)]]-TblApuracao[[#This Row],[FALTAS/ATRASOS (h:mm)]]+TblApuracao[[#This Row],[AJUSTE MANUAL (h:mm)]]</f>
        <v>0</v>
      </c>
      <c r="M48" s="21">
        <f>SUMPRODUCT((TblApuracao[COLABORADOR]=TblApuracao[[#This Row],[COLABORADOR]])*(TblApuracao[COMPETÊNCIA]&lt;=TblApuracao[[#This Row],[COMPETÊNCIA]])*TblApuracao[HRS EXTRAS (h:mm)])</f>
        <v>0</v>
      </c>
      <c r="N48" s="21">
        <f>SUMPRODUCT((TblApuracao[COLABORADOR]=TblApuracao[[#This Row],[COLABORADOR]])*(TblApuracao[COMPETÊNCIA]&lt;=TblApuracao[[#This Row],[COMPETÊNCIA]])*TblApuracao[FALTAS/ATRASOS (h:mm)])</f>
        <v>0</v>
      </c>
      <c r="O48" s="21">
        <f>TblApuracao[[#This Row],[SALDO ANT. (h:mm)]]+TblApuracao[[#This Row],[SALDO MÊS (h:mm)]]</f>
        <v>0</v>
      </c>
      <c r="P48" s="24"/>
      <c r="Q48" s="24"/>
      <c r="R48" s="24"/>
      <c r="S48" s="24" t="str">
        <f>TblApuracao[[#This Row],[COLABORADOR]]&amp;TblApuracao[[#This Row],[COMPETÊNCIA]]</f>
        <v/>
      </c>
      <c r="T48" s="24">
        <f>ROW(TblApuracao[[#Headers],[COMPETÊNCIA]])</f>
        <v>2</v>
      </c>
      <c r="U48" s="24" t="str">
        <f>TblApuracao[[#This Row],[COLABORADOR]]&amp;TblApuracao[[#This Row],[COMPETÊNCIA]]</f>
        <v/>
      </c>
      <c r="V48" s="24" t="str">
        <f>INDEX(TblApuracao[COMPETÊNCIA],1)</f>
        <v>2026-03</v>
      </c>
      <c r="W48" s="25">
        <f>SUMPRODUCT((TblApuracao[COLABORADOR]="Emanuelly Ribeiro de Aguiar")*(TblApuracao[COMPETÊNCIA]&lt;="2025-09")*(TblApuracao[SALDO MÊS (h:mm)]&gt;0)*TblApuracao[SALDO MÊS (h:mm)])</f>
        <v>0.6875</v>
      </c>
    </row>
    <row r="49" spans="1:23" ht="15" customHeight="1" x14ac:dyDescent="0.25">
      <c r="A49" s="18">
        <f t="shared" si="0"/>
        <v>47</v>
      </c>
      <c r="B49" s="34"/>
      <c r="C49" s="19" t="str">
        <f>IFERROR(
  INDEX(TblCadastro[SETOR],
    MATCH(TblApuracao[[#This Row],[COLABORADOR]],TblCadastro[NOME COMPLETO],0)
  ),
  "Não cadastrado"
)</f>
        <v>Não cadastrado</v>
      </c>
      <c r="D49" s="34"/>
      <c r="E4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9" s="18" t="str">
        <f>IFERROR(
  INDEX(TblCadastro[JORNADA ATUAL (h/dia)],
    MATCH(TblApuracao[[#This Row],[COLABORADOR]],TblCadastro[NOME COMPLETO],0)
  ),
  ""
)</f>
        <v/>
      </c>
      <c r="G49" s="18" t="str">
        <f>IFERROR(
  INDEX(TblCadastro[TRABALHA SÁB?],
    MATCH(TblApuracao[[#This Row],[COLABORADOR]],TblCadastro[NOME COMPLETO],0)
  ),
  ""
)</f>
        <v/>
      </c>
      <c r="H4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9" s="34"/>
      <c r="J49" s="34"/>
      <c r="K49" s="34"/>
      <c r="L49" s="21">
        <f>TblApuracao[[#This Row],[HRS EXTRAS (h:mm)]]-TblApuracao[[#This Row],[FALTAS/ATRASOS (h:mm)]]+TblApuracao[[#This Row],[AJUSTE MANUAL (h:mm)]]</f>
        <v>0</v>
      </c>
      <c r="M49" s="21">
        <f>SUMPRODUCT((TblApuracao[COLABORADOR]=TblApuracao[[#This Row],[COLABORADOR]])*(TblApuracao[COMPETÊNCIA]&lt;=TblApuracao[[#This Row],[COMPETÊNCIA]])*TblApuracao[HRS EXTRAS (h:mm)])</f>
        <v>0</v>
      </c>
      <c r="N49" s="21">
        <f>SUMPRODUCT((TblApuracao[COLABORADOR]=TblApuracao[[#This Row],[COLABORADOR]])*(TblApuracao[COMPETÊNCIA]&lt;=TblApuracao[[#This Row],[COMPETÊNCIA]])*TblApuracao[FALTAS/ATRASOS (h:mm)])</f>
        <v>0</v>
      </c>
      <c r="O49" s="21">
        <f>TblApuracao[[#This Row],[SALDO ANT. (h:mm)]]+TblApuracao[[#This Row],[SALDO MÊS (h:mm)]]</f>
        <v>0</v>
      </c>
      <c r="P49" s="24"/>
      <c r="Q49" s="24"/>
      <c r="R49" s="24"/>
      <c r="S49" s="24" t="str">
        <f>TblApuracao[[#This Row],[COLABORADOR]]&amp;TblApuracao[[#This Row],[COMPETÊNCIA]]</f>
        <v/>
      </c>
      <c r="T49" s="24">
        <f>ROW(TblApuracao[[#Headers],[COMPETÊNCIA]])</f>
        <v>2</v>
      </c>
      <c r="U49" s="24" t="str">
        <f>TblApuracao[[#This Row],[COLABORADOR]]&amp;TblApuracao[[#This Row],[COMPETÊNCIA]]</f>
        <v/>
      </c>
      <c r="V49" s="24" t="str">
        <f>INDEX(TblApuracao[COMPETÊNCIA],1)</f>
        <v>2026-03</v>
      </c>
      <c r="W49" s="25">
        <f>SUMPRODUCT((TblApuracao[COLABORADOR]="Emanuelly Ribeiro de Aguiar")*(TblApuracao[COMPETÊNCIA]&lt;="2025-09")*(TblApuracao[SALDO MÊS (h:mm)]&gt;0)*TblApuracao[SALDO MÊS (h:mm)])</f>
        <v>0.6875</v>
      </c>
    </row>
    <row r="50" spans="1:23" ht="15" customHeight="1" x14ac:dyDescent="0.25">
      <c r="A50" s="18">
        <f t="shared" si="0"/>
        <v>48</v>
      </c>
      <c r="B50" s="34"/>
      <c r="C50" s="19" t="str">
        <f>IFERROR(
  INDEX(TblCadastro[SETOR],
    MATCH(TblApuracao[[#This Row],[COLABORADOR]],TblCadastro[NOME COMPLETO],0)
  ),
  "Não cadastrado"
)</f>
        <v>Não cadastrado</v>
      </c>
      <c r="D50" s="34"/>
      <c r="E5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0" s="18" t="str">
        <f>IFERROR(
  INDEX(TblCadastro[JORNADA ATUAL (h/dia)],
    MATCH(TblApuracao[[#This Row],[COLABORADOR]],TblCadastro[NOME COMPLETO],0)
  ),
  ""
)</f>
        <v/>
      </c>
      <c r="G50" s="18" t="str">
        <f>IFERROR(
  INDEX(TblCadastro[TRABALHA SÁB?],
    MATCH(TblApuracao[[#This Row],[COLABORADOR]],TblCadastro[NOME COMPLETO],0)
  ),
  ""
)</f>
        <v/>
      </c>
      <c r="H5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0" s="34"/>
      <c r="J50" s="34"/>
      <c r="K50" s="34"/>
      <c r="L50" s="21">
        <f>TblApuracao[[#This Row],[HRS EXTRAS (h:mm)]]-TblApuracao[[#This Row],[FALTAS/ATRASOS (h:mm)]]+TblApuracao[[#This Row],[AJUSTE MANUAL (h:mm)]]</f>
        <v>0</v>
      </c>
      <c r="M50" s="21">
        <f>SUMPRODUCT((TblApuracao[COLABORADOR]=TblApuracao[[#This Row],[COLABORADOR]])*(TblApuracao[COMPETÊNCIA]&lt;=TblApuracao[[#This Row],[COMPETÊNCIA]])*TblApuracao[HRS EXTRAS (h:mm)])</f>
        <v>0</v>
      </c>
      <c r="N50" s="21">
        <f>SUMPRODUCT((TblApuracao[COLABORADOR]=TblApuracao[[#This Row],[COLABORADOR]])*(TblApuracao[COMPETÊNCIA]&lt;=TblApuracao[[#This Row],[COMPETÊNCIA]])*TblApuracao[FALTAS/ATRASOS (h:mm)])</f>
        <v>0</v>
      </c>
      <c r="O50" s="21">
        <f>TblApuracao[[#This Row],[SALDO ANT. (h:mm)]]+TblApuracao[[#This Row],[SALDO MÊS (h:mm)]]</f>
        <v>0</v>
      </c>
      <c r="P50" s="24"/>
      <c r="Q50" s="24"/>
      <c r="R50" s="24"/>
      <c r="S50" s="24" t="str">
        <f>TblApuracao[[#This Row],[COLABORADOR]]&amp;TblApuracao[[#This Row],[COMPETÊNCIA]]</f>
        <v/>
      </c>
      <c r="T50" s="24">
        <f>ROW(TblApuracao[[#Headers],[COMPETÊNCIA]])</f>
        <v>2</v>
      </c>
      <c r="U50" s="24" t="str">
        <f>TblApuracao[[#This Row],[COLABORADOR]]&amp;TblApuracao[[#This Row],[COMPETÊNCIA]]</f>
        <v/>
      </c>
      <c r="V50" s="24" t="str">
        <f>INDEX(TblApuracao[COMPETÊNCIA],1)</f>
        <v>2026-03</v>
      </c>
      <c r="W50" s="25">
        <f>SUMPRODUCT((TblApuracao[COLABORADOR]="Emanuelly Ribeiro de Aguiar")*(TblApuracao[COMPETÊNCIA]&lt;="2025-09")*(TblApuracao[SALDO MÊS (h:mm)]&gt;0)*TblApuracao[SALDO MÊS (h:mm)])</f>
        <v>0.6875</v>
      </c>
    </row>
    <row r="51" spans="1:23" ht="15" customHeight="1" x14ac:dyDescent="0.25">
      <c r="A51" s="18">
        <f t="shared" si="0"/>
        <v>49</v>
      </c>
      <c r="B51" s="34"/>
      <c r="C51" s="19" t="str">
        <f>IFERROR(
  INDEX(TblCadastro[SETOR],
    MATCH(TblApuracao[[#This Row],[COLABORADOR]],TblCadastro[NOME COMPLETO],0)
  ),
  "Não cadastrado"
)</f>
        <v>Não cadastrado</v>
      </c>
      <c r="D51" s="34"/>
      <c r="E5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1" s="18" t="str">
        <f>IFERROR(
  INDEX(TblCadastro[JORNADA ATUAL (h/dia)],
    MATCH(TblApuracao[[#This Row],[COLABORADOR]],TblCadastro[NOME COMPLETO],0)
  ),
  ""
)</f>
        <v/>
      </c>
      <c r="G51" s="18" t="str">
        <f>IFERROR(
  INDEX(TblCadastro[TRABALHA SÁB?],
    MATCH(TblApuracao[[#This Row],[COLABORADOR]],TblCadastro[NOME COMPLETO],0)
  ),
  ""
)</f>
        <v/>
      </c>
      <c r="H5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1" s="34"/>
      <c r="J51" s="34"/>
      <c r="K51" s="34"/>
      <c r="L51" s="21">
        <f>TblApuracao[[#This Row],[HRS EXTRAS (h:mm)]]-TblApuracao[[#This Row],[FALTAS/ATRASOS (h:mm)]]+TblApuracao[[#This Row],[AJUSTE MANUAL (h:mm)]]</f>
        <v>0</v>
      </c>
      <c r="M51" s="21">
        <f>SUMPRODUCT((TblApuracao[COLABORADOR]=TblApuracao[[#This Row],[COLABORADOR]])*(TblApuracao[COMPETÊNCIA]&lt;=TblApuracao[[#This Row],[COMPETÊNCIA]])*TblApuracao[HRS EXTRAS (h:mm)])</f>
        <v>0</v>
      </c>
      <c r="N51" s="21">
        <f>SUMPRODUCT((TblApuracao[COLABORADOR]=TblApuracao[[#This Row],[COLABORADOR]])*(TblApuracao[COMPETÊNCIA]&lt;=TblApuracao[[#This Row],[COMPETÊNCIA]])*TblApuracao[FALTAS/ATRASOS (h:mm)])</f>
        <v>0</v>
      </c>
      <c r="O51" s="21">
        <f>TblApuracao[[#This Row],[SALDO ANT. (h:mm)]]+TblApuracao[[#This Row],[SALDO MÊS (h:mm)]]</f>
        <v>0</v>
      </c>
      <c r="P51" s="24"/>
      <c r="Q51" s="24"/>
      <c r="R51" s="24"/>
      <c r="S51" s="24" t="str">
        <f>TblApuracao[[#This Row],[COLABORADOR]]&amp;TblApuracao[[#This Row],[COMPETÊNCIA]]</f>
        <v/>
      </c>
      <c r="T51" s="24">
        <f>ROW(TblApuracao[[#Headers],[COMPETÊNCIA]])</f>
        <v>2</v>
      </c>
      <c r="U51" s="24" t="str">
        <f>TblApuracao[[#This Row],[COLABORADOR]]&amp;TblApuracao[[#This Row],[COMPETÊNCIA]]</f>
        <v/>
      </c>
      <c r="V51" s="24" t="str">
        <f>INDEX(TblApuracao[COMPETÊNCIA],1)</f>
        <v>2026-03</v>
      </c>
      <c r="W51" s="25">
        <f>SUMPRODUCT((TblApuracao[COLABORADOR]="Emanuelly Ribeiro de Aguiar")*(TblApuracao[COMPETÊNCIA]&lt;="2025-09")*(TblApuracao[SALDO MÊS (h:mm)]&gt;0)*TblApuracao[SALDO MÊS (h:mm)])</f>
        <v>0.6875</v>
      </c>
    </row>
    <row r="52" spans="1:23" ht="15" customHeight="1" x14ac:dyDescent="0.25">
      <c r="A52" s="18">
        <f t="shared" si="0"/>
        <v>50</v>
      </c>
      <c r="B52" s="34"/>
      <c r="C52" s="19" t="str">
        <f>IFERROR(
  INDEX(TblCadastro[SETOR],
    MATCH(TblApuracao[[#This Row],[COLABORADOR]],TblCadastro[NOME COMPLETO],0)
  ),
  "Não cadastrado"
)</f>
        <v>Não cadastrado</v>
      </c>
      <c r="D52" s="34"/>
      <c r="E5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2" s="18" t="str">
        <f>IFERROR(
  INDEX(TblCadastro[JORNADA ATUAL (h/dia)],
    MATCH(TblApuracao[[#This Row],[COLABORADOR]],TblCadastro[NOME COMPLETO],0)
  ),
  ""
)</f>
        <v/>
      </c>
      <c r="G52" s="18" t="str">
        <f>IFERROR(
  INDEX(TblCadastro[TRABALHA SÁB?],
    MATCH(TblApuracao[[#This Row],[COLABORADOR]],TblCadastro[NOME COMPLETO],0)
  ),
  ""
)</f>
        <v/>
      </c>
      <c r="H5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2" s="34"/>
      <c r="J52" s="34"/>
      <c r="K52" s="34"/>
      <c r="L52" s="21">
        <f>TblApuracao[[#This Row],[HRS EXTRAS (h:mm)]]-TblApuracao[[#This Row],[FALTAS/ATRASOS (h:mm)]]+TblApuracao[[#This Row],[AJUSTE MANUAL (h:mm)]]</f>
        <v>0</v>
      </c>
      <c r="M52" s="21">
        <f>SUMPRODUCT((TblApuracao[COLABORADOR]=TblApuracao[[#This Row],[COLABORADOR]])*(TblApuracao[COMPETÊNCIA]&lt;=TblApuracao[[#This Row],[COMPETÊNCIA]])*TblApuracao[HRS EXTRAS (h:mm)])</f>
        <v>0</v>
      </c>
      <c r="N52" s="21">
        <f>SUMPRODUCT((TblApuracao[COLABORADOR]=TblApuracao[[#This Row],[COLABORADOR]])*(TblApuracao[COMPETÊNCIA]&lt;=TblApuracao[[#This Row],[COMPETÊNCIA]])*TblApuracao[FALTAS/ATRASOS (h:mm)])</f>
        <v>0</v>
      </c>
      <c r="O52" s="21">
        <f>TblApuracao[[#This Row],[SALDO ANT. (h:mm)]]+TblApuracao[[#This Row],[SALDO MÊS (h:mm)]]</f>
        <v>0</v>
      </c>
      <c r="P52" s="24"/>
      <c r="Q52" s="24"/>
      <c r="R52" s="24"/>
      <c r="S52" s="24" t="str">
        <f>TblApuracao[[#This Row],[COLABORADOR]]&amp;TblApuracao[[#This Row],[COMPETÊNCIA]]</f>
        <v/>
      </c>
      <c r="T52" s="24">
        <f>ROW(TblApuracao[[#Headers],[COMPETÊNCIA]])</f>
        <v>2</v>
      </c>
      <c r="U52" s="24" t="str">
        <f>TblApuracao[[#This Row],[COLABORADOR]]&amp;TblApuracao[[#This Row],[COMPETÊNCIA]]</f>
        <v/>
      </c>
      <c r="V52" s="24" t="str">
        <f>INDEX(TblApuracao[COMPETÊNCIA],1)</f>
        <v>2026-03</v>
      </c>
      <c r="W52" s="25">
        <f>SUMPRODUCT((TblApuracao[COLABORADOR]="Emanuelly Ribeiro de Aguiar")*(TblApuracao[COMPETÊNCIA]&lt;="2025-09")*(TblApuracao[SALDO MÊS (h:mm)]&gt;0)*TblApuracao[SALDO MÊS (h:mm)])</f>
        <v>0.6875</v>
      </c>
    </row>
    <row r="53" spans="1:23" ht="15" customHeight="1" x14ac:dyDescent="0.25">
      <c r="A53" s="18">
        <f t="shared" si="0"/>
        <v>51</v>
      </c>
      <c r="B53" s="34"/>
      <c r="C53" s="19" t="str">
        <f>IFERROR(
  INDEX(TblCadastro[SETOR],
    MATCH(TblApuracao[[#This Row],[COLABORADOR]],TblCadastro[NOME COMPLETO],0)
  ),
  "Não cadastrado"
)</f>
        <v>Não cadastrado</v>
      </c>
      <c r="D53" s="34"/>
      <c r="E5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3" s="18" t="str">
        <f>IFERROR(
  INDEX(TblCadastro[JORNADA ATUAL (h/dia)],
    MATCH(TblApuracao[[#This Row],[COLABORADOR]],TblCadastro[NOME COMPLETO],0)
  ),
  ""
)</f>
        <v/>
      </c>
      <c r="G53" s="18" t="str">
        <f>IFERROR(
  INDEX(TblCadastro[TRABALHA SÁB?],
    MATCH(TblApuracao[[#This Row],[COLABORADOR]],TblCadastro[NOME COMPLETO],0)
  ),
  ""
)</f>
        <v/>
      </c>
      <c r="H5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3" s="34"/>
      <c r="J53" s="34"/>
      <c r="K53" s="34"/>
      <c r="L53" s="21">
        <f>TblApuracao[[#This Row],[HRS EXTRAS (h:mm)]]-TblApuracao[[#This Row],[FALTAS/ATRASOS (h:mm)]]+TblApuracao[[#This Row],[AJUSTE MANUAL (h:mm)]]</f>
        <v>0</v>
      </c>
      <c r="M53" s="21">
        <f>SUMPRODUCT((TblApuracao[COLABORADOR]=TblApuracao[[#This Row],[COLABORADOR]])*(TblApuracao[COMPETÊNCIA]&lt;=TblApuracao[[#This Row],[COMPETÊNCIA]])*TblApuracao[HRS EXTRAS (h:mm)])</f>
        <v>0</v>
      </c>
      <c r="N53" s="21">
        <f>SUMPRODUCT((TblApuracao[COLABORADOR]=TblApuracao[[#This Row],[COLABORADOR]])*(TblApuracao[COMPETÊNCIA]&lt;=TblApuracao[[#This Row],[COMPETÊNCIA]])*TblApuracao[FALTAS/ATRASOS (h:mm)])</f>
        <v>0</v>
      </c>
      <c r="O53" s="21">
        <f>TblApuracao[[#This Row],[SALDO ANT. (h:mm)]]+TblApuracao[[#This Row],[SALDO MÊS (h:mm)]]</f>
        <v>0</v>
      </c>
      <c r="P53" s="24"/>
      <c r="Q53" s="24"/>
      <c r="R53" s="24"/>
      <c r="S53" s="24" t="str">
        <f>TblApuracao[[#This Row],[COLABORADOR]]&amp;TblApuracao[[#This Row],[COMPETÊNCIA]]</f>
        <v/>
      </c>
      <c r="T53" s="24">
        <f>ROW(TblApuracao[[#Headers],[COMPETÊNCIA]])</f>
        <v>2</v>
      </c>
      <c r="U53" s="24" t="str">
        <f>TblApuracao[[#This Row],[COLABORADOR]]&amp;TblApuracao[[#This Row],[COMPETÊNCIA]]</f>
        <v/>
      </c>
      <c r="V53" s="24" t="str">
        <f>INDEX(TblApuracao[COMPETÊNCIA],1)</f>
        <v>2026-03</v>
      </c>
      <c r="W53" s="25">
        <f>SUMPRODUCT((TblApuracao[COLABORADOR]="Emanuelly Ribeiro de Aguiar")*(TblApuracao[COMPETÊNCIA]&lt;="2025-09")*(TblApuracao[SALDO MÊS (h:mm)]&gt;0)*TblApuracao[SALDO MÊS (h:mm)])</f>
        <v>0.6875</v>
      </c>
    </row>
    <row r="54" spans="1:23" ht="15" customHeight="1" x14ac:dyDescent="0.25">
      <c r="A54" s="18">
        <f t="shared" si="0"/>
        <v>52</v>
      </c>
      <c r="B54" s="34"/>
      <c r="C54" s="19" t="str">
        <f>IFERROR(
  INDEX(TblCadastro[SETOR],
    MATCH(TblApuracao[[#This Row],[COLABORADOR]],TblCadastro[NOME COMPLETO],0)
  ),
  "Não cadastrado"
)</f>
        <v>Não cadastrado</v>
      </c>
      <c r="D54" s="34"/>
      <c r="E5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4" s="18" t="str">
        <f>IFERROR(
  INDEX(TblCadastro[JORNADA ATUAL (h/dia)],
    MATCH(TblApuracao[[#This Row],[COLABORADOR]],TblCadastro[NOME COMPLETO],0)
  ),
  ""
)</f>
        <v/>
      </c>
      <c r="G54" s="18" t="str">
        <f>IFERROR(
  INDEX(TblCadastro[TRABALHA SÁB?],
    MATCH(TblApuracao[[#This Row],[COLABORADOR]],TblCadastro[NOME COMPLETO],0)
  ),
  ""
)</f>
        <v/>
      </c>
      <c r="H5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4" s="34"/>
      <c r="J54" s="34"/>
      <c r="K54" s="34"/>
      <c r="L54" s="21">
        <f>TblApuracao[[#This Row],[HRS EXTRAS (h:mm)]]-TblApuracao[[#This Row],[FALTAS/ATRASOS (h:mm)]]+TblApuracao[[#This Row],[AJUSTE MANUAL (h:mm)]]</f>
        <v>0</v>
      </c>
      <c r="M54" s="21">
        <f>SUMPRODUCT((TblApuracao[COLABORADOR]=TblApuracao[[#This Row],[COLABORADOR]])*(TblApuracao[COMPETÊNCIA]&lt;=TblApuracao[[#This Row],[COMPETÊNCIA]])*TblApuracao[HRS EXTRAS (h:mm)])</f>
        <v>0</v>
      </c>
      <c r="N54" s="21">
        <f>SUMPRODUCT((TblApuracao[COLABORADOR]=TblApuracao[[#This Row],[COLABORADOR]])*(TblApuracao[COMPETÊNCIA]&lt;=TblApuracao[[#This Row],[COMPETÊNCIA]])*TblApuracao[FALTAS/ATRASOS (h:mm)])</f>
        <v>0</v>
      </c>
      <c r="O54" s="21">
        <f>TblApuracao[[#This Row],[SALDO ANT. (h:mm)]]+TblApuracao[[#This Row],[SALDO MÊS (h:mm)]]</f>
        <v>0</v>
      </c>
      <c r="P54" s="24"/>
      <c r="Q54" s="24"/>
      <c r="R54" s="24"/>
      <c r="S54" s="24" t="str">
        <f>TblApuracao[[#This Row],[COLABORADOR]]&amp;TblApuracao[[#This Row],[COMPETÊNCIA]]</f>
        <v/>
      </c>
      <c r="T54" s="24">
        <f>ROW(TblApuracao[[#Headers],[COMPETÊNCIA]])</f>
        <v>2</v>
      </c>
      <c r="U54" s="24" t="str">
        <f>TblApuracao[[#This Row],[COLABORADOR]]&amp;TblApuracao[[#This Row],[COMPETÊNCIA]]</f>
        <v/>
      </c>
      <c r="V54" s="24" t="str">
        <f>INDEX(TblApuracao[COMPETÊNCIA],1)</f>
        <v>2026-03</v>
      </c>
      <c r="W54" s="25">
        <f>SUMPRODUCT((TblApuracao[COLABORADOR]="Emanuelly Ribeiro de Aguiar")*(TblApuracao[COMPETÊNCIA]&lt;="2025-09")*(TblApuracao[SALDO MÊS (h:mm)]&gt;0)*TblApuracao[SALDO MÊS (h:mm)])</f>
        <v>0.6875</v>
      </c>
    </row>
    <row r="55" spans="1:23" ht="15" customHeight="1" x14ac:dyDescent="0.25">
      <c r="A55" s="18">
        <f t="shared" si="0"/>
        <v>53</v>
      </c>
      <c r="B55" s="34"/>
      <c r="C55" s="19" t="str">
        <f>IFERROR(
  INDEX(TblCadastro[SETOR],
    MATCH(TblApuracao[[#This Row],[COLABORADOR]],TblCadastro[NOME COMPLETO],0)
  ),
  "Não cadastrado"
)</f>
        <v>Não cadastrado</v>
      </c>
      <c r="D55" s="34"/>
      <c r="E5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5" s="18" t="str">
        <f>IFERROR(
  INDEX(TblCadastro[JORNADA ATUAL (h/dia)],
    MATCH(TblApuracao[[#This Row],[COLABORADOR]],TblCadastro[NOME COMPLETO],0)
  ),
  ""
)</f>
        <v/>
      </c>
      <c r="G55" s="18" t="str">
        <f>IFERROR(
  INDEX(TblCadastro[TRABALHA SÁB?],
    MATCH(TblApuracao[[#This Row],[COLABORADOR]],TblCadastro[NOME COMPLETO],0)
  ),
  ""
)</f>
        <v/>
      </c>
      <c r="H5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5" s="34"/>
      <c r="J55" s="34"/>
      <c r="K55" s="34"/>
      <c r="L55" s="21">
        <f>TblApuracao[[#This Row],[HRS EXTRAS (h:mm)]]-TblApuracao[[#This Row],[FALTAS/ATRASOS (h:mm)]]+TblApuracao[[#This Row],[AJUSTE MANUAL (h:mm)]]</f>
        <v>0</v>
      </c>
      <c r="M55" s="21">
        <f>SUMPRODUCT((TblApuracao[COLABORADOR]=TblApuracao[[#This Row],[COLABORADOR]])*(TblApuracao[COMPETÊNCIA]&lt;=TblApuracao[[#This Row],[COMPETÊNCIA]])*TblApuracao[HRS EXTRAS (h:mm)])</f>
        <v>0</v>
      </c>
      <c r="N55" s="21">
        <f>SUMPRODUCT((TblApuracao[COLABORADOR]=TblApuracao[[#This Row],[COLABORADOR]])*(TblApuracao[COMPETÊNCIA]&lt;=TblApuracao[[#This Row],[COMPETÊNCIA]])*TblApuracao[FALTAS/ATRASOS (h:mm)])</f>
        <v>0</v>
      </c>
      <c r="O55" s="21">
        <f>TblApuracao[[#This Row],[SALDO ANT. (h:mm)]]+TblApuracao[[#This Row],[SALDO MÊS (h:mm)]]</f>
        <v>0</v>
      </c>
      <c r="P55" s="24"/>
      <c r="Q55" s="24"/>
      <c r="R55" s="24"/>
      <c r="S55" s="24" t="str">
        <f>TblApuracao[[#This Row],[COLABORADOR]]&amp;TblApuracao[[#This Row],[COMPETÊNCIA]]</f>
        <v/>
      </c>
      <c r="T55" s="24">
        <f>ROW(TblApuracao[[#Headers],[COMPETÊNCIA]])</f>
        <v>2</v>
      </c>
      <c r="U55" s="24" t="str">
        <f>TblApuracao[[#This Row],[COLABORADOR]]&amp;TblApuracao[[#This Row],[COMPETÊNCIA]]</f>
        <v/>
      </c>
      <c r="V55" s="24" t="str">
        <f>INDEX(TblApuracao[COMPETÊNCIA],1)</f>
        <v>2026-03</v>
      </c>
      <c r="W55" s="25">
        <f>SUMPRODUCT((TblApuracao[COLABORADOR]="Emanuelly Ribeiro de Aguiar")*(TblApuracao[COMPETÊNCIA]&lt;="2025-09")*(TblApuracao[SALDO MÊS (h:mm)]&gt;0)*TblApuracao[SALDO MÊS (h:mm)])</f>
        <v>0.6875</v>
      </c>
    </row>
    <row r="56" spans="1:23" ht="15" customHeight="1" x14ac:dyDescent="0.25">
      <c r="A56" s="18">
        <f t="shared" si="0"/>
        <v>54</v>
      </c>
      <c r="B56" s="34"/>
      <c r="C56" s="19" t="str">
        <f>IFERROR(
  INDEX(TblCadastro[SETOR],
    MATCH(TblApuracao[[#This Row],[COLABORADOR]],TblCadastro[NOME COMPLETO],0)
  ),
  "Não cadastrado"
)</f>
        <v>Não cadastrado</v>
      </c>
      <c r="D56" s="34"/>
      <c r="E5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6" s="18" t="str">
        <f>IFERROR(
  INDEX(TblCadastro[JORNADA ATUAL (h/dia)],
    MATCH(TblApuracao[[#This Row],[COLABORADOR]],TblCadastro[NOME COMPLETO],0)
  ),
  ""
)</f>
        <v/>
      </c>
      <c r="G56" s="18" t="str">
        <f>IFERROR(
  INDEX(TblCadastro[TRABALHA SÁB?],
    MATCH(TblApuracao[[#This Row],[COLABORADOR]],TblCadastro[NOME COMPLETO],0)
  ),
  ""
)</f>
        <v/>
      </c>
      <c r="H5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6" s="34"/>
      <c r="J56" s="34"/>
      <c r="K56" s="34"/>
      <c r="L56" s="21">
        <f>TblApuracao[[#This Row],[HRS EXTRAS (h:mm)]]-TblApuracao[[#This Row],[FALTAS/ATRASOS (h:mm)]]+TblApuracao[[#This Row],[AJUSTE MANUAL (h:mm)]]</f>
        <v>0</v>
      </c>
      <c r="M56" s="21">
        <f>SUMPRODUCT((TblApuracao[COLABORADOR]=TblApuracao[[#This Row],[COLABORADOR]])*(TblApuracao[COMPETÊNCIA]&lt;=TblApuracao[[#This Row],[COMPETÊNCIA]])*TblApuracao[HRS EXTRAS (h:mm)])</f>
        <v>0</v>
      </c>
      <c r="N56" s="21">
        <f>SUMPRODUCT((TblApuracao[COLABORADOR]=TblApuracao[[#This Row],[COLABORADOR]])*(TblApuracao[COMPETÊNCIA]&lt;=TblApuracao[[#This Row],[COMPETÊNCIA]])*TblApuracao[FALTAS/ATRASOS (h:mm)])</f>
        <v>0</v>
      </c>
      <c r="O56" s="21">
        <f>TblApuracao[[#This Row],[SALDO ANT. (h:mm)]]+TblApuracao[[#This Row],[SALDO MÊS (h:mm)]]</f>
        <v>0</v>
      </c>
      <c r="P56" s="24"/>
      <c r="Q56" s="24"/>
      <c r="R56" s="24"/>
      <c r="S56" s="24" t="str">
        <f>TblApuracao[[#This Row],[COLABORADOR]]&amp;TblApuracao[[#This Row],[COMPETÊNCIA]]</f>
        <v/>
      </c>
      <c r="T56" s="24">
        <f>ROW(TblApuracao[[#Headers],[COMPETÊNCIA]])</f>
        <v>2</v>
      </c>
      <c r="U56" s="24" t="str">
        <f>TblApuracao[[#This Row],[COLABORADOR]]&amp;TblApuracao[[#This Row],[COMPETÊNCIA]]</f>
        <v/>
      </c>
      <c r="V56" s="24" t="str">
        <f>INDEX(TblApuracao[COMPETÊNCIA],1)</f>
        <v>2026-03</v>
      </c>
      <c r="W56" s="25">
        <f>SUMPRODUCT((TblApuracao[COLABORADOR]="Emanuelly Ribeiro de Aguiar")*(TblApuracao[COMPETÊNCIA]&lt;="2025-09")*(TblApuracao[SALDO MÊS (h:mm)]&gt;0)*TblApuracao[SALDO MÊS (h:mm)])</f>
        <v>0.6875</v>
      </c>
    </row>
    <row r="57" spans="1:23" ht="15" customHeight="1" x14ac:dyDescent="0.25">
      <c r="A57" s="18">
        <f t="shared" si="0"/>
        <v>55</v>
      </c>
      <c r="B57" s="34"/>
      <c r="C57" s="19" t="str">
        <f>IFERROR(
  INDEX(TblCadastro[SETOR],
    MATCH(TblApuracao[[#This Row],[COLABORADOR]],TblCadastro[NOME COMPLETO],0)
  ),
  "Não cadastrado"
)</f>
        <v>Não cadastrado</v>
      </c>
      <c r="D57" s="34"/>
      <c r="E5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7" s="18" t="str">
        <f>IFERROR(
  INDEX(TblCadastro[JORNADA ATUAL (h/dia)],
    MATCH(TblApuracao[[#This Row],[COLABORADOR]],TblCadastro[NOME COMPLETO],0)
  ),
  ""
)</f>
        <v/>
      </c>
      <c r="G57" s="18" t="str">
        <f>IFERROR(
  INDEX(TblCadastro[TRABALHA SÁB?],
    MATCH(TblApuracao[[#This Row],[COLABORADOR]],TblCadastro[NOME COMPLETO],0)
  ),
  ""
)</f>
        <v/>
      </c>
      <c r="H5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7" s="34"/>
      <c r="J57" s="34"/>
      <c r="K57" s="34"/>
      <c r="L57" s="21">
        <f>TblApuracao[[#This Row],[HRS EXTRAS (h:mm)]]-TblApuracao[[#This Row],[FALTAS/ATRASOS (h:mm)]]+TblApuracao[[#This Row],[AJUSTE MANUAL (h:mm)]]</f>
        <v>0</v>
      </c>
      <c r="M57" s="21">
        <f>SUMPRODUCT((TblApuracao[COLABORADOR]=TblApuracao[[#This Row],[COLABORADOR]])*(TblApuracao[COMPETÊNCIA]&lt;=TblApuracao[[#This Row],[COMPETÊNCIA]])*TblApuracao[HRS EXTRAS (h:mm)])</f>
        <v>0</v>
      </c>
      <c r="N57" s="21">
        <f>SUMPRODUCT((TblApuracao[COLABORADOR]=TblApuracao[[#This Row],[COLABORADOR]])*(TblApuracao[COMPETÊNCIA]&lt;=TblApuracao[[#This Row],[COMPETÊNCIA]])*TblApuracao[FALTAS/ATRASOS (h:mm)])</f>
        <v>0</v>
      </c>
      <c r="O57" s="21">
        <f>TblApuracao[[#This Row],[SALDO ANT. (h:mm)]]+TblApuracao[[#This Row],[SALDO MÊS (h:mm)]]</f>
        <v>0</v>
      </c>
      <c r="P57" s="24"/>
      <c r="Q57" s="24"/>
      <c r="R57" s="24"/>
      <c r="S57" s="24" t="str">
        <f>TblApuracao[[#This Row],[COLABORADOR]]&amp;TblApuracao[[#This Row],[COMPETÊNCIA]]</f>
        <v/>
      </c>
      <c r="T57" s="24">
        <f>ROW(TblApuracao[[#Headers],[COMPETÊNCIA]])</f>
        <v>2</v>
      </c>
      <c r="U57" s="24" t="str">
        <f>TblApuracao[[#This Row],[COLABORADOR]]&amp;TblApuracao[[#This Row],[COMPETÊNCIA]]</f>
        <v/>
      </c>
      <c r="V57" s="24" t="str">
        <f>INDEX(TblApuracao[COMPETÊNCIA],1)</f>
        <v>2026-03</v>
      </c>
      <c r="W57" s="25">
        <f>SUMPRODUCT((TblApuracao[COLABORADOR]="Emanuelly Ribeiro de Aguiar")*(TblApuracao[COMPETÊNCIA]&lt;="2025-09")*(TblApuracao[SALDO MÊS (h:mm)]&gt;0)*TblApuracao[SALDO MÊS (h:mm)])</f>
        <v>0.6875</v>
      </c>
    </row>
    <row r="58" spans="1:23" ht="15" customHeight="1" x14ac:dyDescent="0.25">
      <c r="A58" s="18">
        <f t="shared" si="0"/>
        <v>56</v>
      </c>
      <c r="B58" s="34"/>
      <c r="C58" s="19" t="str">
        <f>IFERROR(
  INDEX(TblCadastro[SETOR],
    MATCH(TblApuracao[[#This Row],[COLABORADOR]],TblCadastro[NOME COMPLETO],0)
  ),
  "Não cadastrado"
)</f>
        <v>Não cadastrado</v>
      </c>
      <c r="D58" s="34"/>
      <c r="E5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8" s="18" t="str">
        <f>IFERROR(
  INDEX(TblCadastro[JORNADA ATUAL (h/dia)],
    MATCH(TblApuracao[[#This Row],[COLABORADOR]],TblCadastro[NOME COMPLETO],0)
  ),
  ""
)</f>
        <v/>
      </c>
      <c r="G58" s="18" t="str">
        <f>IFERROR(
  INDEX(TblCadastro[TRABALHA SÁB?],
    MATCH(TblApuracao[[#This Row],[COLABORADOR]],TblCadastro[NOME COMPLETO],0)
  ),
  ""
)</f>
        <v/>
      </c>
      <c r="H5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8" s="34"/>
      <c r="J58" s="34"/>
      <c r="K58" s="34"/>
      <c r="L58" s="21">
        <f>TblApuracao[[#This Row],[HRS EXTRAS (h:mm)]]-TblApuracao[[#This Row],[FALTAS/ATRASOS (h:mm)]]+TblApuracao[[#This Row],[AJUSTE MANUAL (h:mm)]]</f>
        <v>0</v>
      </c>
      <c r="M58" s="21">
        <f>SUMPRODUCT((TblApuracao[COLABORADOR]=TblApuracao[[#This Row],[COLABORADOR]])*(TblApuracao[COMPETÊNCIA]&lt;=TblApuracao[[#This Row],[COMPETÊNCIA]])*TblApuracao[HRS EXTRAS (h:mm)])</f>
        <v>0</v>
      </c>
      <c r="N58" s="21">
        <f>SUMPRODUCT((TblApuracao[COLABORADOR]=TblApuracao[[#This Row],[COLABORADOR]])*(TblApuracao[COMPETÊNCIA]&lt;=TblApuracao[[#This Row],[COMPETÊNCIA]])*TblApuracao[FALTAS/ATRASOS (h:mm)])</f>
        <v>0</v>
      </c>
      <c r="O58" s="21">
        <f>TblApuracao[[#This Row],[SALDO ANT. (h:mm)]]+TblApuracao[[#This Row],[SALDO MÊS (h:mm)]]</f>
        <v>0</v>
      </c>
      <c r="P58" s="24"/>
      <c r="Q58" s="24"/>
      <c r="R58" s="24"/>
      <c r="S58" s="24" t="str">
        <f>TblApuracao[[#This Row],[COLABORADOR]]&amp;TblApuracao[[#This Row],[COMPETÊNCIA]]</f>
        <v/>
      </c>
      <c r="T58" s="24">
        <f>ROW(TblApuracao[[#Headers],[COMPETÊNCIA]])</f>
        <v>2</v>
      </c>
      <c r="U58" s="24" t="str">
        <f>TblApuracao[[#This Row],[COLABORADOR]]&amp;TblApuracao[[#This Row],[COMPETÊNCIA]]</f>
        <v/>
      </c>
      <c r="V58" s="24" t="str">
        <f>INDEX(TblApuracao[COMPETÊNCIA],1)</f>
        <v>2026-03</v>
      </c>
      <c r="W58" s="25">
        <f>SUMPRODUCT((TblApuracao[COLABORADOR]="Emanuelly Ribeiro de Aguiar")*(TblApuracao[COMPETÊNCIA]&lt;="2025-09")*(TblApuracao[SALDO MÊS (h:mm)]&gt;0)*TblApuracao[SALDO MÊS (h:mm)])</f>
        <v>0.6875</v>
      </c>
    </row>
    <row r="59" spans="1:23" ht="15" customHeight="1" x14ac:dyDescent="0.25">
      <c r="A59" s="18">
        <f t="shared" si="0"/>
        <v>57</v>
      </c>
      <c r="B59" s="34"/>
      <c r="C59" s="19" t="str">
        <f>IFERROR(
  INDEX(TblCadastro[SETOR],
    MATCH(TblApuracao[[#This Row],[COLABORADOR]],TblCadastro[NOME COMPLETO],0)
  ),
  "Não cadastrado"
)</f>
        <v>Não cadastrado</v>
      </c>
      <c r="D59" s="34"/>
      <c r="E5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9" s="18" t="str">
        <f>IFERROR(
  INDEX(TblCadastro[JORNADA ATUAL (h/dia)],
    MATCH(TblApuracao[[#This Row],[COLABORADOR]],TblCadastro[NOME COMPLETO],0)
  ),
  ""
)</f>
        <v/>
      </c>
      <c r="G59" s="18" t="str">
        <f>IFERROR(
  INDEX(TblCadastro[TRABALHA SÁB?],
    MATCH(TblApuracao[[#This Row],[COLABORADOR]],TblCadastro[NOME COMPLETO],0)
  ),
  ""
)</f>
        <v/>
      </c>
      <c r="H5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9" s="34"/>
      <c r="J59" s="34"/>
      <c r="K59" s="34"/>
      <c r="L59" s="21">
        <f>TblApuracao[[#This Row],[HRS EXTRAS (h:mm)]]-TblApuracao[[#This Row],[FALTAS/ATRASOS (h:mm)]]+TblApuracao[[#This Row],[AJUSTE MANUAL (h:mm)]]</f>
        <v>0</v>
      </c>
      <c r="M59" s="21">
        <f>SUMPRODUCT((TblApuracao[COLABORADOR]=TblApuracao[[#This Row],[COLABORADOR]])*(TblApuracao[COMPETÊNCIA]&lt;=TblApuracao[[#This Row],[COMPETÊNCIA]])*TblApuracao[HRS EXTRAS (h:mm)])</f>
        <v>0</v>
      </c>
      <c r="N59" s="21">
        <f>SUMPRODUCT((TblApuracao[COLABORADOR]=TblApuracao[[#This Row],[COLABORADOR]])*(TblApuracao[COMPETÊNCIA]&lt;=TblApuracao[[#This Row],[COMPETÊNCIA]])*TblApuracao[FALTAS/ATRASOS (h:mm)])</f>
        <v>0</v>
      </c>
      <c r="O59" s="21">
        <f>TblApuracao[[#This Row],[SALDO ANT. (h:mm)]]+TblApuracao[[#This Row],[SALDO MÊS (h:mm)]]</f>
        <v>0</v>
      </c>
      <c r="P59" s="24"/>
      <c r="Q59" s="24"/>
      <c r="R59" s="24"/>
      <c r="S59" s="24" t="str">
        <f>TblApuracao[[#This Row],[COLABORADOR]]&amp;TblApuracao[[#This Row],[COMPETÊNCIA]]</f>
        <v/>
      </c>
      <c r="T59" s="24">
        <f>ROW(TblApuracao[[#Headers],[COMPETÊNCIA]])</f>
        <v>2</v>
      </c>
      <c r="U59" s="24" t="str">
        <f>TblApuracao[[#This Row],[COLABORADOR]]&amp;TblApuracao[[#This Row],[COMPETÊNCIA]]</f>
        <v/>
      </c>
      <c r="V59" s="24" t="str">
        <f>INDEX(TblApuracao[COMPETÊNCIA],1)</f>
        <v>2026-03</v>
      </c>
      <c r="W59" s="25">
        <f>SUMPRODUCT((TblApuracao[COLABORADOR]="Emanuelly Ribeiro de Aguiar")*(TblApuracao[COMPETÊNCIA]&lt;="2025-09")*(TblApuracao[SALDO MÊS (h:mm)]&gt;0)*TblApuracao[SALDO MÊS (h:mm)])</f>
        <v>0.6875</v>
      </c>
    </row>
    <row r="60" spans="1:23" ht="15" customHeight="1" x14ac:dyDescent="0.25">
      <c r="A60" s="18">
        <f t="shared" si="0"/>
        <v>58</v>
      </c>
      <c r="B60" s="34"/>
      <c r="C60" s="19" t="str">
        <f>IFERROR(
  INDEX(TblCadastro[SETOR],
    MATCH(TblApuracao[[#This Row],[COLABORADOR]],TblCadastro[NOME COMPLETO],0)
  ),
  "Não cadastrado"
)</f>
        <v>Não cadastrado</v>
      </c>
      <c r="D60" s="34"/>
      <c r="E6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0" s="18" t="str">
        <f>IFERROR(
  INDEX(TblCadastro[JORNADA ATUAL (h/dia)],
    MATCH(TblApuracao[[#This Row],[COLABORADOR]],TblCadastro[NOME COMPLETO],0)
  ),
  ""
)</f>
        <v/>
      </c>
      <c r="G60" s="18" t="str">
        <f>IFERROR(
  INDEX(TblCadastro[TRABALHA SÁB?],
    MATCH(TblApuracao[[#This Row],[COLABORADOR]],TblCadastro[NOME COMPLETO],0)
  ),
  ""
)</f>
        <v/>
      </c>
      <c r="H6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0" s="34"/>
      <c r="J60" s="34"/>
      <c r="K60" s="34"/>
      <c r="L60" s="21">
        <f>TblApuracao[[#This Row],[HRS EXTRAS (h:mm)]]-TblApuracao[[#This Row],[FALTAS/ATRASOS (h:mm)]]+TblApuracao[[#This Row],[AJUSTE MANUAL (h:mm)]]</f>
        <v>0</v>
      </c>
      <c r="M60" s="21">
        <f>SUMPRODUCT((TblApuracao[COLABORADOR]=TblApuracao[[#This Row],[COLABORADOR]])*(TblApuracao[COMPETÊNCIA]&lt;=TblApuracao[[#This Row],[COMPETÊNCIA]])*TblApuracao[HRS EXTRAS (h:mm)])</f>
        <v>0</v>
      </c>
      <c r="N60" s="21">
        <f>SUMPRODUCT((TblApuracao[COLABORADOR]=TblApuracao[[#This Row],[COLABORADOR]])*(TblApuracao[COMPETÊNCIA]&lt;=TblApuracao[[#This Row],[COMPETÊNCIA]])*TblApuracao[FALTAS/ATRASOS (h:mm)])</f>
        <v>0</v>
      </c>
      <c r="O60" s="21">
        <f>TblApuracao[[#This Row],[SALDO ANT. (h:mm)]]+TblApuracao[[#This Row],[SALDO MÊS (h:mm)]]</f>
        <v>0</v>
      </c>
      <c r="P60" s="24"/>
      <c r="Q60" s="24"/>
      <c r="R60" s="24"/>
      <c r="S60" s="24" t="str">
        <f>TblApuracao[[#This Row],[COLABORADOR]]&amp;TblApuracao[[#This Row],[COMPETÊNCIA]]</f>
        <v/>
      </c>
      <c r="T60" s="24">
        <f>ROW(TblApuracao[[#Headers],[COMPETÊNCIA]])</f>
        <v>2</v>
      </c>
      <c r="U60" s="24" t="str">
        <f>TblApuracao[[#This Row],[COLABORADOR]]&amp;TblApuracao[[#This Row],[COMPETÊNCIA]]</f>
        <v/>
      </c>
      <c r="V60" s="24" t="str">
        <f>INDEX(TblApuracao[COMPETÊNCIA],1)</f>
        <v>2026-03</v>
      </c>
      <c r="W60" s="25">
        <f>SUMPRODUCT((TblApuracao[COLABORADOR]="Emanuelly Ribeiro de Aguiar")*(TblApuracao[COMPETÊNCIA]&lt;="2025-09")*(TblApuracao[SALDO MÊS (h:mm)]&gt;0)*TblApuracao[SALDO MÊS (h:mm)])</f>
        <v>0.6875</v>
      </c>
    </row>
    <row r="61" spans="1:23" ht="15" customHeight="1" x14ac:dyDescent="0.25">
      <c r="A61" s="18">
        <f t="shared" si="0"/>
        <v>59</v>
      </c>
      <c r="B61" s="34"/>
      <c r="C61" s="19" t="str">
        <f>IFERROR(
  INDEX(TblCadastro[SETOR],
    MATCH(TblApuracao[[#This Row],[COLABORADOR]],TblCadastro[NOME COMPLETO],0)
  ),
  "Não cadastrado"
)</f>
        <v>Não cadastrado</v>
      </c>
      <c r="D61" s="34"/>
      <c r="E6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1" s="18" t="str">
        <f>IFERROR(
  INDEX(TblCadastro[JORNADA ATUAL (h/dia)],
    MATCH(TblApuracao[[#This Row],[COLABORADOR]],TblCadastro[NOME COMPLETO],0)
  ),
  ""
)</f>
        <v/>
      </c>
      <c r="G61" s="18" t="str">
        <f>IFERROR(
  INDEX(TblCadastro[TRABALHA SÁB?],
    MATCH(TblApuracao[[#This Row],[COLABORADOR]],TblCadastro[NOME COMPLETO],0)
  ),
  ""
)</f>
        <v/>
      </c>
      <c r="H6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1" s="34"/>
      <c r="J61" s="34"/>
      <c r="K61" s="34"/>
      <c r="L61" s="21">
        <f>TblApuracao[[#This Row],[HRS EXTRAS (h:mm)]]-TblApuracao[[#This Row],[FALTAS/ATRASOS (h:mm)]]+TblApuracao[[#This Row],[AJUSTE MANUAL (h:mm)]]</f>
        <v>0</v>
      </c>
      <c r="M61" s="21">
        <f>SUMPRODUCT((TblApuracao[COLABORADOR]=TblApuracao[[#This Row],[COLABORADOR]])*(TblApuracao[COMPETÊNCIA]&lt;=TblApuracao[[#This Row],[COMPETÊNCIA]])*TblApuracao[HRS EXTRAS (h:mm)])</f>
        <v>0</v>
      </c>
      <c r="N61" s="21">
        <f>SUMPRODUCT((TblApuracao[COLABORADOR]=TblApuracao[[#This Row],[COLABORADOR]])*(TblApuracao[COMPETÊNCIA]&lt;=TblApuracao[[#This Row],[COMPETÊNCIA]])*TblApuracao[FALTAS/ATRASOS (h:mm)])</f>
        <v>0</v>
      </c>
      <c r="O61" s="21">
        <f>TblApuracao[[#This Row],[SALDO ANT. (h:mm)]]+TblApuracao[[#This Row],[SALDO MÊS (h:mm)]]</f>
        <v>0</v>
      </c>
      <c r="P61" s="24"/>
      <c r="Q61" s="24"/>
      <c r="R61" s="24"/>
      <c r="S61" s="24" t="str">
        <f>TblApuracao[[#This Row],[COLABORADOR]]&amp;TblApuracao[[#This Row],[COMPETÊNCIA]]</f>
        <v/>
      </c>
      <c r="T61" s="24">
        <f>ROW(TblApuracao[[#Headers],[COMPETÊNCIA]])</f>
        <v>2</v>
      </c>
      <c r="U61" s="24" t="str">
        <f>TblApuracao[[#This Row],[COLABORADOR]]&amp;TblApuracao[[#This Row],[COMPETÊNCIA]]</f>
        <v/>
      </c>
      <c r="V61" s="24" t="str">
        <f>INDEX(TblApuracao[COMPETÊNCIA],1)</f>
        <v>2026-03</v>
      </c>
      <c r="W61" s="25">
        <f>SUMPRODUCT((TblApuracao[COLABORADOR]="Emanuelly Ribeiro de Aguiar")*(TblApuracao[COMPETÊNCIA]&lt;="2025-09")*(TblApuracao[SALDO MÊS (h:mm)]&gt;0)*TblApuracao[SALDO MÊS (h:mm)])</f>
        <v>0.6875</v>
      </c>
    </row>
    <row r="62" spans="1:23" ht="15" customHeight="1" x14ac:dyDescent="0.25">
      <c r="A62" s="18">
        <f t="shared" si="0"/>
        <v>60</v>
      </c>
      <c r="B62" s="34"/>
      <c r="C62" s="19" t="str">
        <f>IFERROR(
  INDEX(TblCadastro[SETOR],
    MATCH(TblApuracao[[#This Row],[COLABORADOR]],TblCadastro[NOME COMPLETO],0)
  ),
  "Não cadastrado"
)</f>
        <v>Não cadastrado</v>
      </c>
      <c r="D62" s="34"/>
      <c r="E6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2" s="18" t="str">
        <f>IFERROR(
  INDEX(TblCadastro[JORNADA ATUAL (h/dia)],
    MATCH(TblApuracao[[#This Row],[COLABORADOR]],TblCadastro[NOME COMPLETO],0)
  ),
  ""
)</f>
        <v/>
      </c>
      <c r="G62" s="18" t="str">
        <f>IFERROR(
  INDEX(TblCadastro[TRABALHA SÁB?],
    MATCH(TblApuracao[[#This Row],[COLABORADOR]],TblCadastro[NOME COMPLETO],0)
  ),
  ""
)</f>
        <v/>
      </c>
      <c r="H6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2" s="34"/>
      <c r="J62" s="34"/>
      <c r="K62" s="34"/>
      <c r="L62" s="21">
        <f>TblApuracao[[#This Row],[HRS EXTRAS (h:mm)]]-TblApuracao[[#This Row],[FALTAS/ATRASOS (h:mm)]]+TblApuracao[[#This Row],[AJUSTE MANUAL (h:mm)]]</f>
        <v>0</v>
      </c>
      <c r="M62" s="21">
        <f>SUMPRODUCT((TblApuracao[COLABORADOR]=TblApuracao[[#This Row],[COLABORADOR]])*(TblApuracao[COMPETÊNCIA]&lt;=TblApuracao[[#This Row],[COMPETÊNCIA]])*TblApuracao[HRS EXTRAS (h:mm)])</f>
        <v>0</v>
      </c>
      <c r="N62" s="21">
        <f>SUMPRODUCT((TblApuracao[COLABORADOR]=TblApuracao[[#This Row],[COLABORADOR]])*(TblApuracao[COMPETÊNCIA]&lt;=TblApuracao[[#This Row],[COMPETÊNCIA]])*TblApuracao[FALTAS/ATRASOS (h:mm)])</f>
        <v>0</v>
      </c>
      <c r="O62" s="21">
        <f>TblApuracao[[#This Row],[SALDO ANT. (h:mm)]]+TblApuracao[[#This Row],[SALDO MÊS (h:mm)]]</f>
        <v>0</v>
      </c>
      <c r="P62" s="24"/>
      <c r="Q62" s="24"/>
      <c r="R62" s="24"/>
      <c r="S62" s="24" t="str">
        <f>TblApuracao[[#This Row],[COLABORADOR]]&amp;TblApuracao[[#This Row],[COMPETÊNCIA]]</f>
        <v/>
      </c>
      <c r="T62" s="24">
        <f>ROW(TblApuracao[[#Headers],[COMPETÊNCIA]])</f>
        <v>2</v>
      </c>
      <c r="U62" s="24" t="str">
        <f>TblApuracao[[#This Row],[COLABORADOR]]&amp;TblApuracao[[#This Row],[COMPETÊNCIA]]</f>
        <v/>
      </c>
      <c r="V62" s="24" t="str">
        <f>INDEX(TblApuracao[COMPETÊNCIA],1)</f>
        <v>2026-03</v>
      </c>
      <c r="W62" s="25">
        <f>SUMPRODUCT((TblApuracao[COLABORADOR]="Emanuelly Ribeiro de Aguiar")*(TblApuracao[COMPETÊNCIA]&lt;="2025-09")*(TblApuracao[SALDO MÊS (h:mm)]&gt;0)*TblApuracao[SALDO MÊS (h:mm)])</f>
        <v>0.6875</v>
      </c>
    </row>
    <row r="63" spans="1:23" ht="15" customHeight="1" x14ac:dyDescent="0.25">
      <c r="A63" s="18">
        <f t="shared" si="0"/>
        <v>61</v>
      </c>
      <c r="B63" s="34"/>
      <c r="C63" s="19" t="str">
        <f>IFERROR(
  INDEX(TblCadastro[SETOR],
    MATCH(TblApuracao[[#This Row],[COLABORADOR]],TblCadastro[NOME COMPLETO],0)
  ),
  "Não cadastrado"
)</f>
        <v>Não cadastrado</v>
      </c>
      <c r="D63" s="34"/>
      <c r="E6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3" s="18" t="str">
        <f>IFERROR(
  INDEX(TblCadastro[JORNADA ATUAL (h/dia)],
    MATCH(TblApuracao[[#This Row],[COLABORADOR]],TblCadastro[NOME COMPLETO],0)
  ),
  ""
)</f>
        <v/>
      </c>
      <c r="G63" s="18" t="str">
        <f>IFERROR(
  INDEX(TblCadastro[TRABALHA SÁB?],
    MATCH(TblApuracao[[#This Row],[COLABORADOR]],TblCadastro[NOME COMPLETO],0)
  ),
  ""
)</f>
        <v/>
      </c>
      <c r="H6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3" s="34"/>
      <c r="J63" s="34"/>
      <c r="K63" s="34"/>
      <c r="L63" s="21">
        <f>TblApuracao[[#This Row],[HRS EXTRAS (h:mm)]]-TblApuracao[[#This Row],[FALTAS/ATRASOS (h:mm)]]+TblApuracao[[#This Row],[AJUSTE MANUAL (h:mm)]]</f>
        <v>0</v>
      </c>
      <c r="M63" s="21">
        <f>SUMPRODUCT((TblApuracao[COLABORADOR]=TblApuracao[[#This Row],[COLABORADOR]])*(TblApuracao[COMPETÊNCIA]&lt;=TblApuracao[[#This Row],[COMPETÊNCIA]])*TblApuracao[HRS EXTRAS (h:mm)])</f>
        <v>0</v>
      </c>
      <c r="N63" s="21">
        <f>SUMPRODUCT((TblApuracao[COLABORADOR]=TblApuracao[[#This Row],[COLABORADOR]])*(TblApuracao[COMPETÊNCIA]&lt;=TblApuracao[[#This Row],[COMPETÊNCIA]])*TblApuracao[FALTAS/ATRASOS (h:mm)])</f>
        <v>0</v>
      </c>
      <c r="O63" s="21">
        <f>TblApuracao[[#This Row],[SALDO ANT. (h:mm)]]+TblApuracao[[#This Row],[SALDO MÊS (h:mm)]]</f>
        <v>0</v>
      </c>
      <c r="P63" s="24"/>
      <c r="Q63" s="24"/>
      <c r="R63" s="24"/>
      <c r="S63" s="24" t="str">
        <f>TblApuracao[[#This Row],[COLABORADOR]]&amp;TblApuracao[[#This Row],[COMPETÊNCIA]]</f>
        <v/>
      </c>
      <c r="T63" s="24">
        <f>ROW(TblApuracao[[#Headers],[COMPETÊNCIA]])</f>
        <v>2</v>
      </c>
      <c r="U63" s="24" t="str">
        <f>TblApuracao[[#This Row],[COLABORADOR]]&amp;TblApuracao[[#This Row],[COMPETÊNCIA]]</f>
        <v/>
      </c>
      <c r="V63" s="24" t="str">
        <f>INDEX(TblApuracao[COMPETÊNCIA],1)</f>
        <v>2026-03</v>
      </c>
      <c r="W63" s="25">
        <f>SUMPRODUCT((TblApuracao[COLABORADOR]="Emanuelly Ribeiro de Aguiar")*(TblApuracao[COMPETÊNCIA]&lt;="2025-09")*(TblApuracao[SALDO MÊS (h:mm)]&gt;0)*TblApuracao[SALDO MÊS (h:mm)])</f>
        <v>0.6875</v>
      </c>
    </row>
    <row r="64" spans="1:23" ht="15" customHeight="1" x14ac:dyDescent="0.25">
      <c r="A64" s="18">
        <f t="shared" si="0"/>
        <v>62</v>
      </c>
      <c r="B64" s="34"/>
      <c r="C64" s="19" t="str">
        <f>IFERROR(
  INDEX(TblCadastro[SETOR],
    MATCH(TblApuracao[[#This Row],[COLABORADOR]],TblCadastro[NOME COMPLETO],0)
  ),
  "Não cadastrado"
)</f>
        <v>Não cadastrado</v>
      </c>
      <c r="D64" s="34"/>
      <c r="E6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4" s="18" t="str">
        <f>IFERROR(
  INDEX(TblCadastro[JORNADA ATUAL (h/dia)],
    MATCH(TblApuracao[[#This Row],[COLABORADOR]],TblCadastro[NOME COMPLETO],0)
  ),
  ""
)</f>
        <v/>
      </c>
      <c r="G64" s="18" t="str">
        <f>IFERROR(
  INDEX(TblCadastro[TRABALHA SÁB?],
    MATCH(TblApuracao[[#This Row],[COLABORADOR]],TblCadastro[NOME COMPLETO],0)
  ),
  ""
)</f>
        <v/>
      </c>
      <c r="H6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4" s="34"/>
      <c r="J64" s="34"/>
      <c r="K64" s="34"/>
      <c r="L64" s="21">
        <f>TblApuracao[[#This Row],[HRS EXTRAS (h:mm)]]-TblApuracao[[#This Row],[FALTAS/ATRASOS (h:mm)]]+TblApuracao[[#This Row],[AJUSTE MANUAL (h:mm)]]</f>
        <v>0</v>
      </c>
      <c r="M64" s="21">
        <f>SUMPRODUCT((TblApuracao[COLABORADOR]=TblApuracao[[#This Row],[COLABORADOR]])*(TblApuracao[COMPETÊNCIA]&lt;=TblApuracao[[#This Row],[COMPETÊNCIA]])*TblApuracao[HRS EXTRAS (h:mm)])</f>
        <v>0</v>
      </c>
      <c r="N64" s="21">
        <f>SUMPRODUCT((TblApuracao[COLABORADOR]=TblApuracao[[#This Row],[COLABORADOR]])*(TblApuracao[COMPETÊNCIA]&lt;=TblApuracao[[#This Row],[COMPETÊNCIA]])*TblApuracao[FALTAS/ATRASOS (h:mm)])</f>
        <v>0</v>
      </c>
      <c r="O64" s="21">
        <f>TblApuracao[[#This Row],[SALDO ANT. (h:mm)]]+TblApuracao[[#This Row],[SALDO MÊS (h:mm)]]</f>
        <v>0</v>
      </c>
      <c r="P64" s="24"/>
      <c r="Q64" s="24"/>
      <c r="R64" s="24"/>
      <c r="S64" s="24" t="str">
        <f>TblApuracao[[#This Row],[COLABORADOR]]&amp;TblApuracao[[#This Row],[COMPETÊNCIA]]</f>
        <v/>
      </c>
      <c r="T64" s="24">
        <f>ROW(TblApuracao[[#Headers],[COMPETÊNCIA]])</f>
        <v>2</v>
      </c>
      <c r="U64" s="24" t="str">
        <f>TblApuracao[[#This Row],[COLABORADOR]]&amp;TblApuracao[[#This Row],[COMPETÊNCIA]]</f>
        <v/>
      </c>
      <c r="V64" s="24" t="str">
        <f>INDEX(TblApuracao[COMPETÊNCIA],1)</f>
        <v>2026-03</v>
      </c>
      <c r="W64" s="25">
        <f>SUMPRODUCT((TblApuracao[COLABORADOR]="Emanuelly Ribeiro de Aguiar")*(TblApuracao[COMPETÊNCIA]&lt;="2025-09")*(TblApuracao[SALDO MÊS (h:mm)]&gt;0)*TblApuracao[SALDO MÊS (h:mm)])</f>
        <v>0.6875</v>
      </c>
    </row>
    <row r="65" spans="1:23" ht="15" customHeight="1" x14ac:dyDescent="0.25">
      <c r="A65" s="18">
        <f t="shared" si="0"/>
        <v>63</v>
      </c>
      <c r="B65" s="34"/>
      <c r="C65" s="19" t="str">
        <f>IFERROR(
  INDEX(TblCadastro[SETOR],
    MATCH(TblApuracao[[#This Row],[COLABORADOR]],TblCadastro[NOME COMPLETO],0)
  ),
  "Não cadastrado"
)</f>
        <v>Não cadastrado</v>
      </c>
      <c r="D65" s="34"/>
      <c r="E6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5" s="18" t="str">
        <f>IFERROR(
  INDEX(TblCadastro[JORNADA ATUAL (h/dia)],
    MATCH(TblApuracao[[#This Row],[COLABORADOR]],TblCadastro[NOME COMPLETO],0)
  ),
  ""
)</f>
        <v/>
      </c>
      <c r="G65" s="18" t="str">
        <f>IFERROR(
  INDEX(TblCadastro[TRABALHA SÁB?],
    MATCH(TblApuracao[[#This Row],[COLABORADOR]],TblCadastro[NOME COMPLETO],0)
  ),
  ""
)</f>
        <v/>
      </c>
      <c r="H6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5" s="34"/>
      <c r="J65" s="34"/>
      <c r="K65" s="34"/>
      <c r="L65" s="21">
        <f>TblApuracao[[#This Row],[HRS EXTRAS (h:mm)]]-TblApuracao[[#This Row],[FALTAS/ATRASOS (h:mm)]]+TblApuracao[[#This Row],[AJUSTE MANUAL (h:mm)]]</f>
        <v>0</v>
      </c>
      <c r="M65" s="21">
        <f>SUMPRODUCT((TblApuracao[COLABORADOR]=TblApuracao[[#This Row],[COLABORADOR]])*(TblApuracao[COMPETÊNCIA]&lt;=TblApuracao[[#This Row],[COMPETÊNCIA]])*TblApuracao[HRS EXTRAS (h:mm)])</f>
        <v>0</v>
      </c>
      <c r="N65" s="21">
        <f>SUMPRODUCT((TblApuracao[COLABORADOR]=TblApuracao[[#This Row],[COLABORADOR]])*(TblApuracao[COMPETÊNCIA]&lt;=TblApuracao[[#This Row],[COMPETÊNCIA]])*TblApuracao[FALTAS/ATRASOS (h:mm)])</f>
        <v>0</v>
      </c>
      <c r="O65" s="21">
        <f>TblApuracao[[#This Row],[SALDO ANT. (h:mm)]]+TblApuracao[[#This Row],[SALDO MÊS (h:mm)]]</f>
        <v>0</v>
      </c>
      <c r="P65" s="24"/>
      <c r="Q65" s="24"/>
      <c r="R65" s="24"/>
      <c r="S65" s="24" t="str">
        <f>TblApuracao[[#This Row],[COLABORADOR]]&amp;TblApuracao[[#This Row],[COMPETÊNCIA]]</f>
        <v/>
      </c>
      <c r="T65" s="24">
        <f>ROW(TblApuracao[[#Headers],[COMPETÊNCIA]])</f>
        <v>2</v>
      </c>
      <c r="U65" s="24" t="str">
        <f>TblApuracao[[#This Row],[COLABORADOR]]&amp;TblApuracao[[#This Row],[COMPETÊNCIA]]</f>
        <v/>
      </c>
      <c r="V65" s="24" t="str">
        <f>INDEX(TblApuracao[COMPETÊNCIA],1)</f>
        <v>2026-03</v>
      </c>
      <c r="W65" s="25">
        <f>SUMPRODUCT((TblApuracao[COLABORADOR]="Emanuelly Ribeiro de Aguiar")*(TblApuracao[COMPETÊNCIA]&lt;="2025-09")*(TblApuracao[SALDO MÊS (h:mm)]&gt;0)*TblApuracao[SALDO MÊS (h:mm)])</f>
        <v>0.6875</v>
      </c>
    </row>
    <row r="66" spans="1:23" ht="15" customHeight="1" x14ac:dyDescent="0.25">
      <c r="A66" s="18">
        <f t="shared" si="0"/>
        <v>64</v>
      </c>
      <c r="B66" s="34"/>
      <c r="C66" s="19" t="str">
        <f>IFERROR(
  INDEX(TblCadastro[SETOR],
    MATCH(TblApuracao[[#This Row],[COLABORADOR]],TblCadastro[NOME COMPLETO],0)
  ),
  "Não cadastrado"
)</f>
        <v>Não cadastrado</v>
      </c>
      <c r="D66" s="34"/>
      <c r="E6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6" s="18" t="str">
        <f>IFERROR(
  INDEX(TblCadastro[JORNADA ATUAL (h/dia)],
    MATCH(TblApuracao[[#This Row],[COLABORADOR]],TblCadastro[NOME COMPLETO],0)
  ),
  ""
)</f>
        <v/>
      </c>
      <c r="G66" s="18" t="str">
        <f>IFERROR(
  INDEX(TblCadastro[TRABALHA SÁB?],
    MATCH(TblApuracao[[#This Row],[COLABORADOR]],TblCadastro[NOME COMPLETO],0)
  ),
  ""
)</f>
        <v/>
      </c>
      <c r="H6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6" s="34"/>
      <c r="J66" s="34"/>
      <c r="K66" s="34"/>
      <c r="L66" s="21">
        <f>TblApuracao[[#This Row],[HRS EXTRAS (h:mm)]]-TblApuracao[[#This Row],[FALTAS/ATRASOS (h:mm)]]+TblApuracao[[#This Row],[AJUSTE MANUAL (h:mm)]]</f>
        <v>0</v>
      </c>
      <c r="M66" s="21">
        <f>SUMPRODUCT((TblApuracao[COLABORADOR]=TblApuracao[[#This Row],[COLABORADOR]])*(TblApuracao[COMPETÊNCIA]&lt;=TblApuracao[[#This Row],[COMPETÊNCIA]])*TblApuracao[HRS EXTRAS (h:mm)])</f>
        <v>0</v>
      </c>
      <c r="N66" s="21">
        <f>SUMPRODUCT((TblApuracao[COLABORADOR]=TblApuracao[[#This Row],[COLABORADOR]])*(TblApuracao[COMPETÊNCIA]&lt;=TblApuracao[[#This Row],[COMPETÊNCIA]])*TblApuracao[FALTAS/ATRASOS (h:mm)])</f>
        <v>0</v>
      </c>
      <c r="O66" s="21">
        <f>TblApuracao[[#This Row],[SALDO ANT. (h:mm)]]+TblApuracao[[#This Row],[SALDO MÊS (h:mm)]]</f>
        <v>0</v>
      </c>
      <c r="P66" s="24"/>
      <c r="Q66" s="24"/>
      <c r="R66" s="24"/>
      <c r="S66" s="24" t="str">
        <f>TblApuracao[[#This Row],[COLABORADOR]]&amp;TblApuracao[[#This Row],[COMPETÊNCIA]]</f>
        <v/>
      </c>
      <c r="T66" s="24">
        <f>ROW(TblApuracao[[#Headers],[COMPETÊNCIA]])</f>
        <v>2</v>
      </c>
      <c r="U66" s="24" t="str">
        <f>TblApuracao[[#This Row],[COLABORADOR]]&amp;TblApuracao[[#This Row],[COMPETÊNCIA]]</f>
        <v/>
      </c>
      <c r="V66" s="24" t="str">
        <f>INDEX(TblApuracao[COMPETÊNCIA],1)</f>
        <v>2026-03</v>
      </c>
      <c r="W66" s="25">
        <f>SUMPRODUCT((TblApuracao[COLABORADOR]="Emanuelly Ribeiro de Aguiar")*(TblApuracao[COMPETÊNCIA]&lt;="2025-09")*(TblApuracao[SALDO MÊS (h:mm)]&gt;0)*TblApuracao[SALDO MÊS (h:mm)])</f>
        <v>0.6875</v>
      </c>
    </row>
    <row r="67" spans="1:23" ht="15" customHeight="1" x14ac:dyDescent="0.25">
      <c r="A67" s="18">
        <f t="shared" ref="A67:A130" si="1">ROW()-2</f>
        <v>65</v>
      </c>
      <c r="B67" s="34"/>
      <c r="C67" s="19" t="str">
        <f>IFERROR(
  INDEX(TblCadastro[SETOR],
    MATCH(TblApuracao[[#This Row],[COLABORADOR]],TblCadastro[NOME COMPLETO],0)
  ),
  "Não cadastrado"
)</f>
        <v>Não cadastrado</v>
      </c>
      <c r="D67" s="34"/>
      <c r="E6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7" s="18" t="str">
        <f>IFERROR(
  INDEX(TblCadastro[JORNADA ATUAL (h/dia)],
    MATCH(TblApuracao[[#This Row],[COLABORADOR]],TblCadastro[NOME COMPLETO],0)
  ),
  ""
)</f>
        <v/>
      </c>
      <c r="G67" s="18" t="str">
        <f>IFERROR(
  INDEX(TblCadastro[TRABALHA SÁB?],
    MATCH(TblApuracao[[#This Row],[COLABORADOR]],TblCadastro[NOME COMPLETO],0)
  ),
  ""
)</f>
        <v/>
      </c>
      <c r="H6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7" s="34"/>
      <c r="J67" s="34"/>
      <c r="K67" s="34"/>
      <c r="L67" s="21">
        <f>TblApuracao[[#This Row],[HRS EXTRAS (h:mm)]]-TblApuracao[[#This Row],[FALTAS/ATRASOS (h:mm)]]+TblApuracao[[#This Row],[AJUSTE MANUAL (h:mm)]]</f>
        <v>0</v>
      </c>
      <c r="M67" s="21">
        <f>SUMPRODUCT((TblApuracao[COLABORADOR]=TblApuracao[[#This Row],[COLABORADOR]])*(TblApuracao[COMPETÊNCIA]&lt;=TblApuracao[[#This Row],[COMPETÊNCIA]])*TblApuracao[HRS EXTRAS (h:mm)])</f>
        <v>0</v>
      </c>
      <c r="N67" s="21">
        <f>SUMPRODUCT((TblApuracao[COLABORADOR]=TblApuracao[[#This Row],[COLABORADOR]])*(TblApuracao[COMPETÊNCIA]&lt;=TblApuracao[[#This Row],[COMPETÊNCIA]])*TblApuracao[FALTAS/ATRASOS (h:mm)])</f>
        <v>0</v>
      </c>
      <c r="O67" s="21">
        <f>TblApuracao[[#This Row],[SALDO ANT. (h:mm)]]+TblApuracao[[#This Row],[SALDO MÊS (h:mm)]]</f>
        <v>0</v>
      </c>
      <c r="P67" s="24"/>
      <c r="Q67" s="24"/>
      <c r="R67" s="24"/>
      <c r="S67" s="24" t="str">
        <f>TblApuracao[[#This Row],[COLABORADOR]]&amp;TblApuracao[[#This Row],[COMPETÊNCIA]]</f>
        <v/>
      </c>
      <c r="T67" s="24">
        <f>ROW(TblApuracao[[#Headers],[COMPETÊNCIA]])</f>
        <v>2</v>
      </c>
      <c r="U67" s="24" t="str">
        <f>TblApuracao[[#This Row],[COLABORADOR]]&amp;TblApuracao[[#This Row],[COMPETÊNCIA]]</f>
        <v/>
      </c>
      <c r="V67" s="24" t="str">
        <f>INDEX(TblApuracao[COMPETÊNCIA],1)</f>
        <v>2026-03</v>
      </c>
      <c r="W67" s="25">
        <f>SUMPRODUCT((TblApuracao[COLABORADOR]="Emanuelly Ribeiro de Aguiar")*(TblApuracao[COMPETÊNCIA]&lt;="2025-09")*(TblApuracao[SALDO MÊS (h:mm)]&gt;0)*TblApuracao[SALDO MÊS (h:mm)])</f>
        <v>0.6875</v>
      </c>
    </row>
    <row r="68" spans="1:23" ht="15" customHeight="1" x14ac:dyDescent="0.25">
      <c r="A68" s="18">
        <f t="shared" si="1"/>
        <v>66</v>
      </c>
      <c r="B68" s="34"/>
      <c r="C68" s="19" t="str">
        <f>IFERROR(
  INDEX(TblCadastro[SETOR],
    MATCH(TblApuracao[[#This Row],[COLABORADOR]],TblCadastro[NOME COMPLETO],0)
  ),
  "Não cadastrado"
)</f>
        <v>Não cadastrado</v>
      </c>
      <c r="D68" s="34"/>
      <c r="E6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8" s="18" t="str">
        <f>IFERROR(
  INDEX(TblCadastro[JORNADA ATUAL (h/dia)],
    MATCH(TblApuracao[[#This Row],[COLABORADOR]],TblCadastro[NOME COMPLETO],0)
  ),
  ""
)</f>
        <v/>
      </c>
      <c r="G68" s="18" t="str">
        <f>IFERROR(
  INDEX(TblCadastro[TRABALHA SÁB?],
    MATCH(TblApuracao[[#This Row],[COLABORADOR]],TblCadastro[NOME COMPLETO],0)
  ),
  ""
)</f>
        <v/>
      </c>
      <c r="H6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8" s="34"/>
      <c r="J68" s="34"/>
      <c r="K68" s="34"/>
      <c r="L68" s="21">
        <f>TblApuracao[[#This Row],[HRS EXTRAS (h:mm)]]-TblApuracao[[#This Row],[FALTAS/ATRASOS (h:mm)]]+TblApuracao[[#This Row],[AJUSTE MANUAL (h:mm)]]</f>
        <v>0</v>
      </c>
      <c r="M68" s="21">
        <f>SUMPRODUCT((TblApuracao[COLABORADOR]=TblApuracao[[#This Row],[COLABORADOR]])*(TblApuracao[COMPETÊNCIA]&lt;=TblApuracao[[#This Row],[COMPETÊNCIA]])*TblApuracao[HRS EXTRAS (h:mm)])</f>
        <v>0</v>
      </c>
      <c r="N68" s="21">
        <f>SUMPRODUCT((TblApuracao[COLABORADOR]=TblApuracao[[#This Row],[COLABORADOR]])*(TblApuracao[COMPETÊNCIA]&lt;=TblApuracao[[#This Row],[COMPETÊNCIA]])*TblApuracao[FALTAS/ATRASOS (h:mm)])</f>
        <v>0</v>
      </c>
      <c r="O68" s="21">
        <f>TblApuracao[[#This Row],[SALDO ANT. (h:mm)]]+TblApuracao[[#This Row],[SALDO MÊS (h:mm)]]</f>
        <v>0</v>
      </c>
      <c r="P68" s="24"/>
      <c r="Q68" s="24"/>
      <c r="R68" s="24"/>
      <c r="S68" s="24" t="str">
        <f>TblApuracao[[#This Row],[COLABORADOR]]&amp;TblApuracao[[#This Row],[COMPETÊNCIA]]</f>
        <v/>
      </c>
      <c r="T68" s="24">
        <f>ROW(TblApuracao[[#Headers],[COMPETÊNCIA]])</f>
        <v>2</v>
      </c>
      <c r="U68" s="24" t="str">
        <f>TblApuracao[[#This Row],[COLABORADOR]]&amp;TblApuracao[[#This Row],[COMPETÊNCIA]]</f>
        <v/>
      </c>
      <c r="V68" s="24" t="str">
        <f>INDEX(TblApuracao[COMPETÊNCIA],1)</f>
        <v>2026-03</v>
      </c>
      <c r="W68" s="25">
        <f>SUMPRODUCT((TblApuracao[COLABORADOR]="Emanuelly Ribeiro de Aguiar")*(TblApuracao[COMPETÊNCIA]&lt;="2025-09")*(TblApuracao[SALDO MÊS (h:mm)]&gt;0)*TblApuracao[SALDO MÊS (h:mm)])</f>
        <v>0.6875</v>
      </c>
    </row>
    <row r="69" spans="1:23" ht="15" customHeight="1" x14ac:dyDescent="0.25">
      <c r="A69" s="18">
        <f t="shared" si="1"/>
        <v>67</v>
      </c>
      <c r="B69" s="34"/>
      <c r="C69" s="19" t="str">
        <f>IFERROR(
  INDEX(TblCadastro[SETOR],
    MATCH(TblApuracao[[#This Row],[COLABORADOR]],TblCadastro[NOME COMPLETO],0)
  ),
  "Não cadastrado"
)</f>
        <v>Não cadastrado</v>
      </c>
      <c r="D69" s="34"/>
      <c r="E6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9" s="18" t="str">
        <f>IFERROR(
  INDEX(TblCadastro[JORNADA ATUAL (h/dia)],
    MATCH(TblApuracao[[#This Row],[COLABORADOR]],TblCadastro[NOME COMPLETO],0)
  ),
  ""
)</f>
        <v/>
      </c>
      <c r="G69" s="18" t="str">
        <f>IFERROR(
  INDEX(TblCadastro[TRABALHA SÁB?],
    MATCH(TblApuracao[[#This Row],[COLABORADOR]],TblCadastro[NOME COMPLETO],0)
  ),
  ""
)</f>
        <v/>
      </c>
      <c r="H6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9" s="34"/>
      <c r="J69" s="34"/>
      <c r="K69" s="34"/>
      <c r="L69" s="21">
        <f>TblApuracao[[#This Row],[HRS EXTRAS (h:mm)]]-TblApuracao[[#This Row],[FALTAS/ATRASOS (h:mm)]]+TblApuracao[[#This Row],[AJUSTE MANUAL (h:mm)]]</f>
        <v>0</v>
      </c>
      <c r="M69" s="21">
        <f>SUMPRODUCT((TblApuracao[COLABORADOR]=TblApuracao[[#This Row],[COLABORADOR]])*(TblApuracao[COMPETÊNCIA]&lt;=TblApuracao[[#This Row],[COMPETÊNCIA]])*TblApuracao[HRS EXTRAS (h:mm)])</f>
        <v>0</v>
      </c>
      <c r="N69" s="21">
        <f>SUMPRODUCT((TblApuracao[COLABORADOR]=TblApuracao[[#This Row],[COLABORADOR]])*(TblApuracao[COMPETÊNCIA]&lt;=TblApuracao[[#This Row],[COMPETÊNCIA]])*TblApuracao[FALTAS/ATRASOS (h:mm)])</f>
        <v>0</v>
      </c>
      <c r="O69" s="21">
        <f>TblApuracao[[#This Row],[SALDO ANT. (h:mm)]]+TblApuracao[[#This Row],[SALDO MÊS (h:mm)]]</f>
        <v>0</v>
      </c>
      <c r="P69" s="24"/>
      <c r="Q69" s="24"/>
      <c r="R69" s="24"/>
      <c r="S69" s="24" t="str">
        <f>TblApuracao[[#This Row],[COLABORADOR]]&amp;TblApuracao[[#This Row],[COMPETÊNCIA]]</f>
        <v/>
      </c>
      <c r="T69" s="24">
        <f>ROW(TblApuracao[[#Headers],[COMPETÊNCIA]])</f>
        <v>2</v>
      </c>
      <c r="U69" s="24" t="str">
        <f>TblApuracao[[#This Row],[COLABORADOR]]&amp;TblApuracao[[#This Row],[COMPETÊNCIA]]</f>
        <v/>
      </c>
      <c r="V69" s="24" t="str">
        <f>INDEX(TblApuracao[COMPETÊNCIA],1)</f>
        <v>2026-03</v>
      </c>
      <c r="W69" s="25">
        <f>SUMPRODUCT((TblApuracao[COLABORADOR]="Emanuelly Ribeiro de Aguiar")*(TblApuracao[COMPETÊNCIA]&lt;="2025-09")*(TblApuracao[SALDO MÊS (h:mm)]&gt;0)*TblApuracao[SALDO MÊS (h:mm)])</f>
        <v>0.6875</v>
      </c>
    </row>
    <row r="70" spans="1:23" ht="15" customHeight="1" x14ac:dyDescent="0.25">
      <c r="A70" s="18">
        <f t="shared" si="1"/>
        <v>68</v>
      </c>
      <c r="B70" s="34"/>
      <c r="C70" s="19" t="str">
        <f>IFERROR(
  INDEX(TblCadastro[SETOR],
    MATCH(TblApuracao[[#This Row],[COLABORADOR]],TblCadastro[NOME COMPLETO],0)
  ),
  "Não cadastrado"
)</f>
        <v>Não cadastrado</v>
      </c>
      <c r="D70" s="34"/>
      <c r="E7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0" s="18" t="str">
        <f>IFERROR(
  INDEX(TblCadastro[JORNADA ATUAL (h/dia)],
    MATCH(TblApuracao[[#This Row],[COLABORADOR]],TblCadastro[NOME COMPLETO],0)
  ),
  ""
)</f>
        <v/>
      </c>
      <c r="G70" s="18" t="str">
        <f>IFERROR(
  INDEX(TblCadastro[TRABALHA SÁB?],
    MATCH(TblApuracao[[#This Row],[COLABORADOR]],TblCadastro[NOME COMPLETO],0)
  ),
  ""
)</f>
        <v/>
      </c>
      <c r="H7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0" s="34"/>
      <c r="J70" s="34"/>
      <c r="K70" s="34"/>
      <c r="L70" s="21">
        <f>TblApuracao[[#This Row],[HRS EXTRAS (h:mm)]]-TblApuracao[[#This Row],[FALTAS/ATRASOS (h:mm)]]+TblApuracao[[#This Row],[AJUSTE MANUAL (h:mm)]]</f>
        <v>0</v>
      </c>
      <c r="M70" s="21">
        <f>SUMPRODUCT((TblApuracao[COLABORADOR]=TblApuracao[[#This Row],[COLABORADOR]])*(TblApuracao[COMPETÊNCIA]&lt;=TblApuracao[[#This Row],[COMPETÊNCIA]])*TblApuracao[HRS EXTRAS (h:mm)])</f>
        <v>0</v>
      </c>
      <c r="N70" s="21">
        <f>SUMPRODUCT((TblApuracao[COLABORADOR]=TblApuracao[[#This Row],[COLABORADOR]])*(TblApuracao[COMPETÊNCIA]&lt;=TblApuracao[[#This Row],[COMPETÊNCIA]])*TblApuracao[FALTAS/ATRASOS (h:mm)])</f>
        <v>0</v>
      </c>
      <c r="O70" s="21">
        <f>TblApuracao[[#This Row],[SALDO ANT. (h:mm)]]+TblApuracao[[#This Row],[SALDO MÊS (h:mm)]]</f>
        <v>0</v>
      </c>
      <c r="P70" s="24"/>
      <c r="Q70" s="24"/>
      <c r="R70" s="24"/>
      <c r="S70" s="24" t="str">
        <f>TblApuracao[[#This Row],[COLABORADOR]]&amp;TblApuracao[[#This Row],[COMPETÊNCIA]]</f>
        <v/>
      </c>
      <c r="T70" s="24">
        <f>ROW(TblApuracao[[#Headers],[COMPETÊNCIA]])</f>
        <v>2</v>
      </c>
      <c r="U70" s="24" t="str">
        <f>TblApuracao[[#This Row],[COLABORADOR]]&amp;TblApuracao[[#This Row],[COMPETÊNCIA]]</f>
        <v/>
      </c>
      <c r="V70" s="24" t="str">
        <f>INDEX(TblApuracao[COMPETÊNCIA],1)</f>
        <v>2026-03</v>
      </c>
      <c r="W70" s="25">
        <f>SUMPRODUCT((TblApuracao[COLABORADOR]="Emanuelly Ribeiro de Aguiar")*(TblApuracao[COMPETÊNCIA]&lt;="2025-09")*(TblApuracao[SALDO MÊS (h:mm)]&gt;0)*TblApuracao[SALDO MÊS (h:mm)])</f>
        <v>0.6875</v>
      </c>
    </row>
    <row r="71" spans="1:23" ht="15" customHeight="1" x14ac:dyDescent="0.25">
      <c r="A71" s="18">
        <f t="shared" si="1"/>
        <v>69</v>
      </c>
      <c r="B71" s="34"/>
      <c r="C71" s="19" t="str">
        <f>IFERROR(
  INDEX(TblCadastro[SETOR],
    MATCH(TblApuracao[[#This Row],[COLABORADOR]],TblCadastro[NOME COMPLETO],0)
  ),
  "Não cadastrado"
)</f>
        <v>Não cadastrado</v>
      </c>
      <c r="D71" s="34"/>
      <c r="E7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1" s="18" t="str">
        <f>IFERROR(
  INDEX(TblCadastro[JORNADA ATUAL (h/dia)],
    MATCH(TblApuracao[[#This Row],[COLABORADOR]],TblCadastro[NOME COMPLETO],0)
  ),
  ""
)</f>
        <v/>
      </c>
      <c r="G71" s="18" t="str">
        <f>IFERROR(
  INDEX(TblCadastro[TRABALHA SÁB?],
    MATCH(TblApuracao[[#This Row],[COLABORADOR]],TblCadastro[NOME COMPLETO],0)
  ),
  ""
)</f>
        <v/>
      </c>
      <c r="H7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1" s="34"/>
      <c r="J71" s="34"/>
      <c r="K71" s="34"/>
      <c r="L71" s="21">
        <f>TblApuracao[[#This Row],[HRS EXTRAS (h:mm)]]-TblApuracao[[#This Row],[FALTAS/ATRASOS (h:mm)]]+TblApuracao[[#This Row],[AJUSTE MANUAL (h:mm)]]</f>
        <v>0</v>
      </c>
      <c r="M71" s="21">
        <f>SUMPRODUCT((TblApuracao[COLABORADOR]=TblApuracao[[#This Row],[COLABORADOR]])*(TblApuracao[COMPETÊNCIA]&lt;=TblApuracao[[#This Row],[COMPETÊNCIA]])*TblApuracao[HRS EXTRAS (h:mm)])</f>
        <v>0</v>
      </c>
      <c r="N71" s="21">
        <f>SUMPRODUCT((TblApuracao[COLABORADOR]=TblApuracao[[#This Row],[COLABORADOR]])*(TblApuracao[COMPETÊNCIA]&lt;=TblApuracao[[#This Row],[COMPETÊNCIA]])*TblApuracao[FALTAS/ATRASOS (h:mm)])</f>
        <v>0</v>
      </c>
      <c r="O71" s="21">
        <f>TblApuracao[[#This Row],[SALDO ANT. (h:mm)]]+TblApuracao[[#This Row],[SALDO MÊS (h:mm)]]</f>
        <v>0</v>
      </c>
      <c r="P71" s="24"/>
      <c r="Q71" s="24"/>
      <c r="R71" s="24"/>
      <c r="S71" s="24" t="str">
        <f>TblApuracao[[#This Row],[COLABORADOR]]&amp;TblApuracao[[#This Row],[COMPETÊNCIA]]</f>
        <v/>
      </c>
      <c r="T71" s="24">
        <f>ROW(TblApuracao[[#Headers],[COMPETÊNCIA]])</f>
        <v>2</v>
      </c>
      <c r="U71" s="24" t="str">
        <f>TblApuracao[[#This Row],[COLABORADOR]]&amp;TblApuracao[[#This Row],[COMPETÊNCIA]]</f>
        <v/>
      </c>
      <c r="V71" s="24" t="str">
        <f>INDEX(TblApuracao[COMPETÊNCIA],1)</f>
        <v>2026-03</v>
      </c>
      <c r="W71" s="25">
        <f>SUMPRODUCT((TblApuracao[COLABORADOR]="Emanuelly Ribeiro de Aguiar")*(TblApuracao[COMPETÊNCIA]&lt;="2025-09")*(TblApuracao[SALDO MÊS (h:mm)]&gt;0)*TblApuracao[SALDO MÊS (h:mm)])</f>
        <v>0.6875</v>
      </c>
    </row>
    <row r="72" spans="1:23" ht="15" customHeight="1" x14ac:dyDescent="0.25">
      <c r="A72" s="18">
        <f t="shared" si="1"/>
        <v>70</v>
      </c>
      <c r="B72" s="34"/>
      <c r="C72" s="19" t="str">
        <f>IFERROR(
  INDEX(TblCadastro[SETOR],
    MATCH(TblApuracao[[#This Row],[COLABORADOR]],TblCadastro[NOME COMPLETO],0)
  ),
  "Não cadastrado"
)</f>
        <v>Não cadastrado</v>
      </c>
      <c r="D72" s="34"/>
      <c r="E7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2" s="18" t="str">
        <f>IFERROR(
  INDEX(TblCadastro[JORNADA ATUAL (h/dia)],
    MATCH(TblApuracao[[#This Row],[COLABORADOR]],TblCadastro[NOME COMPLETO],0)
  ),
  ""
)</f>
        <v/>
      </c>
      <c r="G72" s="18" t="str">
        <f>IFERROR(
  INDEX(TblCadastro[TRABALHA SÁB?],
    MATCH(TblApuracao[[#This Row],[COLABORADOR]],TblCadastro[NOME COMPLETO],0)
  ),
  ""
)</f>
        <v/>
      </c>
      <c r="H7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2" s="34"/>
      <c r="J72" s="34"/>
      <c r="K72" s="34"/>
      <c r="L72" s="21">
        <f>TblApuracao[[#This Row],[HRS EXTRAS (h:mm)]]-TblApuracao[[#This Row],[FALTAS/ATRASOS (h:mm)]]+TblApuracao[[#This Row],[AJUSTE MANUAL (h:mm)]]</f>
        <v>0</v>
      </c>
      <c r="M72" s="21">
        <f>SUMPRODUCT((TblApuracao[COLABORADOR]=TblApuracao[[#This Row],[COLABORADOR]])*(TblApuracao[COMPETÊNCIA]&lt;=TblApuracao[[#This Row],[COMPETÊNCIA]])*TblApuracao[HRS EXTRAS (h:mm)])</f>
        <v>0</v>
      </c>
      <c r="N72" s="21">
        <f>SUMPRODUCT((TblApuracao[COLABORADOR]=TblApuracao[[#This Row],[COLABORADOR]])*(TblApuracao[COMPETÊNCIA]&lt;=TblApuracao[[#This Row],[COMPETÊNCIA]])*TblApuracao[FALTAS/ATRASOS (h:mm)])</f>
        <v>0</v>
      </c>
      <c r="O72" s="21">
        <f>TblApuracao[[#This Row],[SALDO ANT. (h:mm)]]+TblApuracao[[#This Row],[SALDO MÊS (h:mm)]]</f>
        <v>0</v>
      </c>
      <c r="P72" s="24"/>
      <c r="Q72" s="24"/>
      <c r="R72" s="24"/>
      <c r="S72" s="24" t="str">
        <f>TblApuracao[[#This Row],[COLABORADOR]]&amp;TblApuracao[[#This Row],[COMPETÊNCIA]]</f>
        <v/>
      </c>
      <c r="T72" s="24">
        <f>ROW(TblApuracao[[#Headers],[COMPETÊNCIA]])</f>
        <v>2</v>
      </c>
      <c r="U72" s="24" t="str">
        <f>TblApuracao[[#This Row],[COLABORADOR]]&amp;TblApuracao[[#This Row],[COMPETÊNCIA]]</f>
        <v/>
      </c>
      <c r="V72" s="24" t="str">
        <f>INDEX(TblApuracao[COMPETÊNCIA],1)</f>
        <v>2026-03</v>
      </c>
      <c r="W72" s="25">
        <f>SUMPRODUCT((TblApuracao[COLABORADOR]="Emanuelly Ribeiro de Aguiar")*(TblApuracao[COMPETÊNCIA]&lt;="2025-09")*(TblApuracao[SALDO MÊS (h:mm)]&gt;0)*TblApuracao[SALDO MÊS (h:mm)])</f>
        <v>0.6875</v>
      </c>
    </row>
    <row r="73" spans="1:23" ht="15" customHeight="1" x14ac:dyDescent="0.25">
      <c r="A73" s="18">
        <f t="shared" si="1"/>
        <v>71</v>
      </c>
      <c r="B73" s="34"/>
      <c r="C73" s="19" t="str">
        <f>IFERROR(
  INDEX(TblCadastro[SETOR],
    MATCH(TblApuracao[[#This Row],[COLABORADOR]],TblCadastro[NOME COMPLETO],0)
  ),
  "Não cadastrado"
)</f>
        <v>Não cadastrado</v>
      </c>
      <c r="D73" s="34"/>
      <c r="E7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3" s="18" t="str">
        <f>IFERROR(
  INDEX(TblCadastro[JORNADA ATUAL (h/dia)],
    MATCH(TblApuracao[[#This Row],[COLABORADOR]],TblCadastro[NOME COMPLETO],0)
  ),
  ""
)</f>
        <v/>
      </c>
      <c r="G73" s="18" t="str">
        <f>IFERROR(
  INDEX(TblCadastro[TRABALHA SÁB?],
    MATCH(TblApuracao[[#This Row],[COLABORADOR]],TblCadastro[NOME COMPLETO],0)
  ),
  ""
)</f>
        <v/>
      </c>
      <c r="H7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3" s="34"/>
      <c r="J73" s="34"/>
      <c r="K73" s="34"/>
      <c r="L73" s="21">
        <f>TblApuracao[[#This Row],[HRS EXTRAS (h:mm)]]-TblApuracao[[#This Row],[FALTAS/ATRASOS (h:mm)]]+TblApuracao[[#This Row],[AJUSTE MANUAL (h:mm)]]</f>
        <v>0</v>
      </c>
      <c r="M73" s="21">
        <f>SUMPRODUCT((TblApuracao[COLABORADOR]=TblApuracao[[#This Row],[COLABORADOR]])*(TblApuracao[COMPETÊNCIA]&lt;=TblApuracao[[#This Row],[COMPETÊNCIA]])*TblApuracao[HRS EXTRAS (h:mm)])</f>
        <v>0</v>
      </c>
      <c r="N73" s="21">
        <f>SUMPRODUCT((TblApuracao[COLABORADOR]=TblApuracao[[#This Row],[COLABORADOR]])*(TblApuracao[COMPETÊNCIA]&lt;=TblApuracao[[#This Row],[COMPETÊNCIA]])*TblApuracao[FALTAS/ATRASOS (h:mm)])</f>
        <v>0</v>
      </c>
      <c r="O73" s="21">
        <f>TblApuracao[[#This Row],[SALDO ANT. (h:mm)]]+TblApuracao[[#This Row],[SALDO MÊS (h:mm)]]</f>
        <v>0</v>
      </c>
      <c r="P73" s="24"/>
      <c r="Q73" s="24"/>
      <c r="R73" s="24"/>
      <c r="S73" s="24" t="str">
        <f>TblApuracao[[#This Row],[COLABORADOR]]&amp;TblApuracao[[#This Row],[COMPETÊNCIA]]</f>
        <v/>
      </c>
      <c r="T73" s="24">
        <f>ROW(TblApuracao[[#Headers],[COMPETÊNCIA]])</f>
        <v>2</v>
      </c>
      <c r="U73" s="24" t="str">
        <f>TblApuracao[[#This Row],[COLABORADOR]]&amp;TblApuracao[[#This Row],[COMPETÊNCIA]]</f>
        <v/>
      </c>
      <c r="V73" s="24" t="str">
        <f>INDEX(TblApuracao[COMPETÊNCIA],1)</f>
        <v>2026-03</v>
      </c>
      <c r="W73" s="25">
        <f>SUMPRODUCT((TblApuracao[COLABORADOR]="Emanuelly Ribeiro de Aguiar")*(TblApuracao[COMPETÊNCIA]&lt;="2025-09")*(TblApuracao[SALDO MÊS (h:mm)]&gt;0)*TblApuracao[SALDO MÊS (h:mm)])</f>
        <v>0.6875</v>
      </c>
    </row>
    <row r="74" spans="1:23" ht="15" customHeight="1" x14ac:dyDescent="0.25">
      <c r="A74" s="18">
        <f t="shared" si="1"/>
        <v>72</v>
      </c>
      <c r="B74" s="34"/>
      <c r="C74" s="19" t="str">
        <f>IFERROR(
  INDEX(TblCadastro[SETOR],
    MATCH(TblApuracao[[#This Row],[COLABORADOR]],TblCadastro[NOME COMPLETO],0)
  ),
  "Não cadastrado"
)</f>
        <v>Não cadastrado</v>
      </c>
      <c r="D74" s="34"/>
      <c r="E7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4" s="18" t="str">
        <f>IFERROR(
  INDEX(TblCadastro[JORNADA ATUAL (h/dia)],
    MATCH(TblApuracao[[#This Row],[COLABORADOR]],TblCadastro[NOME COMPLETO],0)
  ),
  ""
)</f>
        <v/>
      </c>
      <c r="G74" s="18" t="str">
        <f>IFERROR(
  INDEX(TblCadastro[TRABALHA SÁB?],
    MATCH(TblApuracao[[#This Row],[COLABORADOR]],TblCadastro[NOME COMPLETO],0)
  ),
  ""
)</f>
        <v/>
      </c>
      <c r="H7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4" s="34"/>
      <c r="J74" s="34"/>
      <c r="K74" s="34"/>
      <c r="L74" s="21">
        <f>TblApuracao[[#This Row],[HRS EXTRAS (h:mm)]]-TblApuracao[[#This Row],[FALTAS/ATRASOS (h:mm)]]+TblApuracao[[#This Row],[AJUSTE MANUAL (h:mm)]]</f>
        <v>0</v>
      </c>
      <c r="M74" s="21">
        <f>SUMPRODUCT((TblApuracao[COLABORADOR]=TblApuracao[[#This Row],[COLABORADOR]])*(TblApuracao[COMPETÊNCIA]&lt;=TblApuracao[[#This Row],[COMPETÊNCIA]])*TblApuracao[HRS EXTRAS (h:mm)])</f>
        <v>0</v>
      </c>
      <c r="N74" s="21">
        <f>SUMPRODUCT((TblApuracao[COLABORADOR]=TblApuracao[[#This Row],[COLABORADOR]])*(TblApuracao[COMPETÊNCIA]&lt;=TblApuracao[[#This Row],[COMPETÊNCIA]])*TblApuracao[FALTAS/ATRASOS (h:mm)])</f>
        <v>0</v>
      </c>
      <c r="O74" s="21">
        <f>TblApuracao[[#This Row],[SALDO ANT. (h:mm)]]+TblApuracao[[#This Row],[SALDO MÊS (h:mm)]]</f>
        <v>0</v>
      </c>
      <c r="P74" s="24"/>
      <c r="Q74" s="24"/>
      <c r="R74" s="24"/>
      <c r="S74" s="24" t="str">
        <f>TblApuracao[[#This Row],[COLABORADOR]]&amp;TblApuracao[[#This Row],[COMPETÊNCIA]]</f>
        <v/>
      </c>
      <c r="T74" s="24">
        <f>ROW(TblApuracao[[#Headers],[COMPETÊNCIA]])</f>
        <v>2</v>
      </c>
      <c r="U74" s="24" t="str">
        <f>TblApuracao[[#This Row],[COLABORADOR]]&amp;TblApuracao[[#This Row],[COMPETÊNCIA]]</f>
        <v/>
      </c>
      <c r="V74" s="24" t="str">
        <f>INDEX(TblApuracao[COMPETÊNCIA],1)</f>
        <v>2026-03</v>
      </c>
      <c r="W74" s="25">
        <f>SUMPRODUCT((TblApuracao[COLABORADOR]="Emanuelly Ribeiro de Aguiar")*(TblApuracao[COMPETÊNCIA]&lt;="2025-09")*(TblApuracao[SALDO MÊS (h:mm)]&gt;0)*TblApuracao[SALDO MÊS (h:mm)])</f>
        <v>0.6875</v>
      </c>
    </row>
    <row r="75" spans="1:23" ht="15" customHeight="1" x14ac:dyDescent="0.25">
      <c r="A75" s="18">
        <f t="shared" si="1"/>
        <v>73</v>
      </c>
      <c r="B75" s="34"/>
      <c r="C75" s="19" t="str">
        <f>IFERROR(
  INDEX(TblCadastro[SETOR],
    MATCH(TblApuracao[[#This Row],[COLABORADOR]],TblCadastro[NOME COMPLETO],0)
  ),
  "Não cadastrado"
)</f>
        <v>Não cadastrado</v>
      </c>
      <c r="D75" s="34"/>
      <c r="E7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5" s="18" t="str">
        <f>IFERROR(
  INDEX(TblCadastro[JORNADA ATUAL (h/dia)],
    MATCH(TblApuracao[[#This Row],[COLABORADOR]],TblCadastro[NOME COMPLETO],0)
  ),
  ""
)</f>
        <v/>
      </c>
      <c r="G75" s="18" t="str">
        <f>IFERROR(
  INDEX(TblCadastro[TRABALHA SÁB?],
    MATCH(TblApuracao[[#This Row],[COLABORADOR]],TblCadastro[NOME COMPLETO],0)
  ),
  ""
)</f>
        <v/>
      </c>
      <c r="H7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5" s="34"/>
      <c r="J75" s="34"/>
      <c r="K75" s="34"/>
      <c r="L75" s="21">
        <f>TblApuracao[[#This Row],[HRS EXTRAS (h:mm)]]-TblApuracao[[#This Row],[FALTAS/ATRASOS (h:mm)]]+TblApuracao[[#This Row],[AJUSTE MANUAL (h:mm)]]</f>
        <v>0</v>
      </c>
      <c r="M75" s="21">
        <f>SUMPRODUCT((TblApuracao[COLABORADOR]=TblApuracao[[#This Row],[COLABORADOR]])*(TblApuracao[COMPETÊNCIA]&lt;=TblApuracao[[#This Row],[COMPETÊNCIA]])*TblApuracao[HRS EXTRAS (h:mm)])</f>
        <v>0</v>
      </c>
      <c r="N75" s="21">
        <f>SUMPRODUCT((TblApuracao[COLABORADOR]=TblApuracao[[#This Row],[COLABORADOR]])*(TblApuracao[COMPETÊNCIA]&lt;=TblApuracao[[#This Row],[COMPETÊNCIA]])*TblApuracao[FALTAS/ATRASOS (h:mm)])</f>
        <v>0</v>
      </c>
      <c r="O75" s="21">
        <f>TblApuracao[[#This Row],[SALDO ANT. (h:mm)]]+TblApuracao[[#This Row],[SALDO MÊS (h:mm)]]</f>
        <v>0</v>
      </c>
      <c r="P75" s="24"/>
      <c r="Q75" s="24"/>
      <c r="R75" s="24"/>
      <c r="S75" s="24" t="str">
        <f>TblApuracao[[#This Row],[COLABORADOR]]&amp;TblApuracao[[#This Row],[COMPETÊNCIA]]</f>
        <v/>
      </c>
      <c r="T75" s="24">
        <f>ROW(TblApuracao[[#Headers],[COMPETÊNCIA]])</f>
        <v>2</v>
      </c>
      <c r="U75" s="24" t="str">
        <f>TblApuracao[[#This Row],[COLABORADOR]]&amp;TblApuracao[[#This Row],[COMPETÊNCIA]]</f>
        <v/>
      </c>
      <c r="V75" s="24" t="str">
        <f>INDEX(TblApuracao[COMPETÊNCIA],1)</f>
        <v>2026-03</v>
      </c>
      <c r="W75" s="25">
        <f>SUMPRODUCT((TblApuracao[COLABORADOR]="Emanuelly Ribeiro de Aguiar")*(TblApuracao[COMPETÊNCIA]&lt;="2025-09")*(TblApuracao[SALDO MÊS (h:mm)]&gt;0)*TblApuracao[SALDO MÊS (h:mm)])</f>
        <v>0.6875</v>
      </c>
    </row>
    <row r="76" spans="1:23" ht="15" customHeight="1" x14ac:dyDescent="0.25">
      <c r="A76" s="18">
        <f t="shared" si="1"/>
        <v>74</v>
      </c>
      <c r="B76" s="34"/>
      <c r="C76" s="19" t="str">
        <f>IFERROR(
  INDEX(TblCadastro[SETOR],
    MATCH(TblApuracao[[#This Row],[COLABORADOR]],TblCadastro[NOME COMPLETO],0)
  ),
  "Não cadastrado"
)</f>
        <v>Não cadastrado</v>
      </c>
      <c r="D76" s="34"/>
      <c r="E7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6" s="18" t="str">
        <f>IFERROR(
  INDEX(TblCadastro[JORNADA ATUAL (h/dia)],
    MATCH(TblApuracao[[#This Row],[COLABORADOR]],TblCadastro[NOME COMPLETO],0)
  ),
  ""
)</f>
        <v/>
      </c>
      <c r="G76" s="18" t="str">
        <f>IFERROR(
  INDEX(TblCadastro[TRABALHA SÁB?],
    MATCH(TblApuracao[[#This Row],[COLABORADOR]],TblCadastro[NOME COMPLETO],0)
  ),
  ""
)</f>
        <v/>
      </c>
      <c r="H7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6" s="34"/>
      <c r="J76" s="34"/>
      <c r="K76" s="34"/>
      <c r="L76" s="21">
        <f>TblApuracao[[#This Row],[HRS EXTRAS (h:mm)]]-TblApuracao[[#This Row],[FALTAS/ATRASOS (h:mm)]]+TblApuracao[[#This Row],[AJUSTE MANUAL (h:mm)]]</f>
        <v>0</v>
      </c>
      <c r="M76" s="21">
        <f>SUMPRODUCT((TblApuracao[COLABORADOR]=TblApuracao[[#This Row],[COLABORADOR]])*(TblApuracao[COMPETÊNCIA]&lt;=TblApuracao[[#This Row],[COMPETÊNCIA]])*TblApuracao[HRS EXTRAS (h:mm)])</f>
        <v>0</v>
      </c>
      <c r="N76" s="21">
        <f>SUMPRODUCT((TblApuracao[COLABORADOR]=TblApuracao[[#This Row],[COLABORADOR]])*(TblApuracao[COMPETÊNCIA]&lt;=TblApuracao[[#This Row],[COMPETÊNCIA]])*TblApuracao[FALTAS/ATRASOS (h:mm)])</f>
        <v>0</v>
      </c>
      <c r="O76" s="21">
        <f>TblApuracao[[#This Row],[SALDO ANT. (h:mm)]]+TblApuracao[[#This Row],[SALDO MÊS (h:mm)]]</f>
        <v>0</v>
      </c>
      <c r="P76" s="24"/>
      <c r="Q76" s="24"/>
      <c r="R76" s="24"/>
      <c r="S76" s="24" t="str">
        <f>TblApuracao[[#This Row],[COLABORADOR]]&amp;TblApuracao[[#This Row],[COMPETÊNCIA]]</f>
        <v/>
      </c>
      <c r="T76" s="24">
        <f>ROW(TblApuracao[[#Headers],[COMPETÊNCIA]])</f>
        <v>2</v>
      </c>
      <c r="U76" s="24" t="str">
        <f>TblApuracao[[#This Row],[COLABORADOR]]&amp;TblApuracao[[#This Row],[COMPETÊNCIA]]</f>
        <v/>
      </c>
      <c r="V76" s="24" t="str">
        <f>INDEX(TblApuracao[COMPETÊNCIA],1)</f>
        <v>2026-03</v>
      </c>
      <c r="W76" s="25">
        <f>SUMPRODUCT((TblApuracao[COLABORADOR]="Emanuelly Ribeiro de Aguiar")*(TblApuracao[COMPETÊNCIA]&lt;="2025-09")*(TblApuracao[SALDO MÊS (h:mm)]&gt;0)*TblApuracao[SALDO MÊS (h:mm)])</f>
        <v>0.6875</v>
      </c>
    </row>
    <row r="77" spans="1:23" ht="15" customHeight="1" x14ac:dyDescent="0.25">
      <c r="A77" s="18">
        <f t="shared" si="1"/>
        <v>75</v>
      </c>
      <c r="B77" s="34"/>
      <c r="C77" s="19" t="str">
        <f>IFERROR(
  INDEX(TblCadastro[SETOR],
    MATCH(TblApuracao[[#This Row],[COLABORADOR]],TblCadastro[NOME COMPLETO],0)
  ),
  "Não cadastrado"
)</f>
        <v>Não cadastrado</v>
      </c>
      <c r="D77" s="34"/>
      <c r="E7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7" s="18" t="str">
        <f>IFERROR(
  INDEX(TblCadastro[JORNADA ATUAL (h/dia)],
    MATCH(TblApuracao[[#This Row],[COLABORADOR]],TblCadastro[NOME COMPLETO],0)
  ),
  ""
)</f>
        <v/>
      </c>
      <c r="G77" s="18" t="str">
        <f>IFERROR(
  INDEX(TblCadastro[TRABALHA SÁB?],
    MATCH(TblApuracao[[#This Row],[COLABORADOR]],TblCadastro[NOME COMPLETO],0)
  ),
  ""
)</f>
        <v/>
      </c>
      <c r="H7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7" s="34"/>
      <c r="J77" s="34"/>
      <c r="K77" s="34"/>
      <c r="L77" s="21">
        <f>TblApuracao[[#This Row],[HRS EXTRAS (h:mm)]]-TblApuracao[[#This Row],[FALTAS/ATRASOS (h:mm)]]+TblApuracao[[#This Row],[AJUSTE MANUAL (h:mm)]]</f>
        <v>0</v>
      </c>
      <c r="M77" s="21">
        <f>SUMPRODUCT((TblApuracao[COLABORADOR]=TblApuracao[[#This Row],[COLABORADOR]])*(TblApuracao[COMPETÊNCIA]&lt;=TblApuracao[[#This Row],[COMPETÊNCIA]])*TblApuracao[HRS EXTRAS (h:mm)])</f>
        <v>0</v>
      </c>
      <c r="N77" s="21">
        <f>SUMPRODUCT((TblApuracao[COLABORADOR]=TblApuracao[[#This Row],[COLABORADOR]])*(TblApuracao[COMPETÊNCIA]&lt;=TblApuracao[[#This Row],[COMPETÊNCIA]])*TblApuracao[FALTAS/ATRASOS (h:mm)])</f>
        <v>0</v>
      </c>
      <c r="O77" s="21">
        <f>TblApuracao[[#This Row],[SALDO ANT. (h:mm)]]+TblApuracao[[#This Row],[SALDO MÊS (h:mm)]]</f>
        <v>0</v>
      </c>
      <c r="P77" s="24"/>
      <c r="Q77" s="24"/>
      <c r="R77" s="24"/>
      <c r="S77" s="24" t="str">
        <f>TblApuracao[[#This Row],[COLABORADOR]]&amp;TblApuracao[[#This Row],[COMPETÊNCIA]]</f>
        <v/>
      </c>
      <c r="T77" s="24">
        <f>ROW(TblApuracao[[#Headers],[COMPETÊNCIA]])</f>
        <v>2</v>
      </c>
      <c r="U77" s="24" t="str">
        <f>TblApuracao[[#This Row],[COLABORADOR]]&amp;TblApuracao[[#This Row],[COMPETÊNCIA]]</f>
        <v/>
      </c>
      <c r="V77" s="24" t="str">
        <f>INDEX(TblApuracao[COMPETÊNCIA],1)</f>
        <v>2026-03</v>
      </c>
      <c r="W77" s="25">
        <f>SUMPRODUCT((TblApuracao[COLABORADOR]="Emanuelly Ribeiro de Aguiar")*(TblApuracao[COMPETÊNCIA]&lt;="2025-09")*(TblApuracao[SALDO MÊS (h:mm)]&gt;0)*TblApuracao[SALDO MÊS (h:mm)])</f>
        <v>0.6875</v>
      </c>
    </row>
    <row r="78" spans="1:23" ht="15" customHeight="1" x14ac:dyDescent="0.25">
      <c r="A78" s="18">
        <f t="shared" si="1"/>
        <v>76</v>
      </c>
      <c r="B78" s="34"/>
      <c r="C78" s="19" t="str">
        <f>IFERROR(
  INDEX(TblCadastro[SETOR],
    MATCH(TblApuracao[[#This Row],[COLABORADOR]],TblCadastro[NOME COMPLETO],0)
  ),
  "Não cadastrado"
)</f>
        <v>Não cadastrado</v>
      </c>
      <c r="D78" s="34"/>
      <c r="E7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8" s="18" t="str">
        <f>IFERROR(
  INDEX(TblCadastro[JORNADA ATUAL (h/dia)],
    MATCH(TblApuracao[[#This Row],[COLABORADOR]],TblCadastro[NOME COMPLETO],0)
  ),
  ""
)</f>
        <v/>
      </c>
      <c r="G78" s="18" t="str">
        <f>IFERROR(
  INDEX(TblCadastro[TRABALHA SÁB?],
    MATCH(TblApuracao[[#This Row],[COLABORADOR]],TblCadastro[NOME COMPLETO],0)
  ),
  ""
)</f>
        <v/>
      </c>
      <c r="H7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8" s="34"/>
      <c r="J78" s="34"/>
      <c r="K78" s="34"/>
      <c r="L78" s="21">
        <f>TblApuracao[[#This Row],[HRS EXTRAS (h:mm)]]-TblApuracao[[#This Row],[FALTAS/ATRASOS (h:mm)]]+TblApuracao[[#This Row],[AJUSTE MANUAL (h:mm)]]</f>
        <v>0</v>
      </c>
      <c r="M78" s="21">
        <f>SUMPRODUCT((TblApuracao[COLABORADOR]=TblApuracao[[#This Row],[COLABORADOR]])*(TblApuracao[COMPETÊNCIA]&lt;=TblApuracao[[#This Row],[COMPETÊNCIA]])*TblApuracao[HRS EXTRAS (h:mm)])</f>
        <v>0</v>
      </c>
      <c r="N78" s="21">
        <f>SUMPRODUCT((TblApuracao[COLABORADOR]=TblApuracao[[#This Row],[COLABORADOR]])*(TblApuracao[COMPETÊNCIA]&lt;=TblApuracao[[#This Row],[COMPETÊNCIA]])*TblApuracao[FALTAS/ATRASOS (h:mm)])</f>
        <v>0</v>
      </c>
      <c r="O78" s="21">
        <f>TblApuracao[[#This Row],[SALDO ANT. (h:mm)]]+TblApuracao[[#This Row],[SALDO MÊS (h:mm)]]</f>
        <v>0</v>
      </c>
      <c r="P78" s="24"/>
      <c r="Q78" s="24"/>
      <c r="R78" s="24"/>
      <c r="S78" s="24" t="str">
        <f>TblApuracao[[#This Row],[COLABORADOR]]&amp;TblApuracao[[#This Row],[COMPETÊNCIA]]</f>
        <v/>
      </c>
      <c r="T78" s="24">
        <f>ROW(TblApuracao[[#Headers],[COMPETÊNCIA]])</f>
        <v>2</v>
      </c>
      <c r="U78" s="24" t="str">
        <f>TblApuracao[[#This Row],[COLABORADOR]]&amp;TblApuracao[[#This Row],[COMPETÊNCIA]]</f>
        <v/>
      </c>
      <c r="V78" s="24" t="str">
        <f>INDEX(TblApuracao[COMPETÊNCIA],1)</f>
        <v>2026-03</v>
      </c>
      <c r="W78" s="25">
        <f>SUMPRODUCT((TblApuracao[COLABORADOR]="Emanuelly Ribeiro de Aguiar")*(TblApuracao[COMPETÊNCIA]&lt;="2025-09")*(TblApuracao[SALDO MÊS (h:mm)]&gt;0)*TblApuracao[SALDO MÊS (h:mm)])</f>
        <v>0.6875</v>
      </c>
    </row>
    <row r="79" spans="1:23" ht="15" customHeight="1" x14ac:dyDescent="0.25">
      <c r="A79" s="18">
        <f t="shared" si="1"/>
        <v>77</v>
      </c>
      <c r="B79" s="34"/>
      <c r="C79" s="19" t="str">
        <f>IFERROR(
  INDEX(TblCadastro[SETOR],
    MATCH(TblApuracao[[#This Row],[COLABORADOR]],TblCadastro[NOME COMPLETO],0)
  ),
  "Não cadastrado"
)</f>
        <v>Não cadastrado</v>
      </c>
      <c r="D79" s="34"/>
      <c r="E7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9" s="18" t="str">
        <f>IFERROR(
  INDEX(TblCadastro[JORNADA ATUAL (h/dia)],
    MATCH(TblApuracao[[#This Row],[COLABORADOR]],TblCadastro[NOME COMPLETO],0)
  ),
  ""
)</f>
        <v/>
      </c>
      <c r="G79" s="18" t="str">
        <f>IFERROR(
  INDEX(TblCadastro[TRABALHA SÁB?],
    MATCH(TblApuracao[[#This Row],[COLABORADOR]],TblCadastro[NOME COMPLETO],0)
  ),
  ""
)</f>
        <v/>
      </c>
      <c r="H7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9" s="34"/>
      <c r="J79" s="34"/>
      <c r="K79" s="34"/>
      <c r="L79" s="21">
        <f>TblApuracao[[#This Row],[HRS EXTRAS (h:mm)]]-TblApuracao[[#This Row],[FALTAS/ATRASOS (h:mm)]]+TblApuracao[[#This Row],[AJUSTE MANUAL (h:mm)]]</f>
        <v>0</v>
      </c>
      <c r="M79" s="21">
        <f>SUMPRODUCT((TblApuracao[COLABORADOR]=TblApuracao[[#This Row],[COLABORADOR]])*(TblApuracao[COMPETÊNCIA]&lt;=TblApuracao[[#This Row],[COMPETÊNCIA]])*TblApuracao[HRS EXTRAS (h:mm)])</f>
        <v>0</v>
      </c>
      <c r="N79" s="21">
        <f>SUMPRODUCT((TblApuracao[COLABORADOR]=TblApuracao[[#This Row],[COLABORADOR]])*(TblApuracao[COMPETÊNCIA]&lt;=TblApuracao[[#This Row],[COMPETÊNCIA]])*TblApuracao[FALTAS/ATRASOS (h:mm)])</f>
        <v>0</v>
      </c>
      <c r="O79" s="21">
        <f>TblApuracao[[#This Row],[SALDO ANT. (h:mm)]]+TblApuracao[[#This Row],[SALDO MÊS (h:mm)]]</f>
        <v>0</v>
      </c>
      <c r="P79" s="24"/>
      <c r="Q79" s="24"/>
      <c r="R79" s="24"/>
      <c r="S79" s="24" t="str">
        <f>TblApuracao[[#This Row],[COLABORADOR]]&amp;TblApuracao[[#This Row],[COMPETÊNCIA]]</f>
        <v/>
      </c>
      <c r="T79" s="24">
        <f>ROW(TblApuracao[[#Headers],[COMPETÊNCIA]])</f>
        <v>2</v>
      </c>
      <c r="U79" s="24" t="str">
        <f>TblApuracao[[#This Row],[COLABORADOR]]&amp;TblApuracao[[#This Row],[COMPETÊNCIA]]</f>
        <v/>
      </c>
      <c r="V79" s="24" t="str">
        <f>INDEX(TblApuracao[COMPETÊNCIA],1)</f>
        <v>2026-03</v>
      </c>
      <c r="W79" s="25">
        <f>SUMPRODUCT((TblApuracao[COLABORADOR]="Emanuelly Ribeiro de Aguiar")*(TblApuracao[COMPETÊNCIA]&lt;="2025-09")*(TblApuracao[SALDO MÊS (h:mm)]&gt;0)*TblApuracao[SALDO MÊS (h:mm)])</f>
        <v>0.6875</v>
      </c>
    </row>
    <row r="80" spans="1:23" ht="15" customHeight="1" x14ac:dyDescent="0.25">
      <c r="A80" s="18">
        <f t="shared" si="1"/>
        <v>78</v>
      </c>
      <c r="B80" s="34"/>
      <c r="C80" s="19" t="str">
        <f>IFERROR(
  INDEX(TblCadastro[SETOR],
    MATCH(TblApuracao[[#This Row],[COLABORADOR]],TblCadastro[NOME COMPLETO],0)
  ),
  "Não cadastrado"
)</f>
        <v>Não cadastrado</v>
      </c>
      <c r="D80" s="34"/>
      <c r="E8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0" s="18" t="str">
        <f>IFERROR(
  INDEX(TblCadastro[JORNADA ATUAL (h/dia)],
    MATCH(TblApuracao[[#This Row],[COLABORADOR]],TblCadastro[NOME COMPLETO],0)
  ),
  ""
)</f>
        <v/>
      </c>
      <c r="G80" s="18" t="str">
        <f>IFERROR(
  INDEX(TblCadastro[TRABALHA SÁB?],
    MATCH(TblApuracao[[#This Row],[COLABORADOR]],TblCadastro[NOME COMPLETO],0)
  ),
  ""
)</f>
        <v/>
      </c>
      <c r="H8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0" s="34"/>
      <c r="J80" s="34"/>
      <c r="K80" s="34"/>
      <c r="L80" s="21">
        <f>TblApuracao[[#This Row],[HRS EXTRAS (h:mm)]]-TblApuracao[[#This Row],[FALTAS/ATRASOS (h:mm)]]+TblApuracao[[#This Row],[AJUSTE MANUAL (h:mm)]]</f>
        <v>0</v>
      </c>
      <c r="M80" s="21">
        <f>SUMPRODUCT((TblApuracao[COLABORADOR]=TblApuracao[[#This Row],[COLABORADOR]])*(TblApuracao[COMPETÊNCIA]&lt;=TblApuracao[[#This Row],[COMPETÊNCIA]])*TblApuracao[HRS EXTRAS (h:mm)])</f>
        <v>0</v>
      </c>
      <c r="N80" s="21">
        <f>SUMPRODUCT((TblApuracao[COLABORADOR]=TblApuracao[[#This Row],[COLABORADOR]])*(TblApuracao[COMPETÊNCIA]&lt;=TblApuracao[[#This Row],[COMPETÊNCIA]])*TblApuracao[FALTAS/ATRASOS (h:mm)])</f>
        <v>0</v>
      </c>
      <c r="O80" s="21">
        <f>TblApuracao[[#This Row],[SALDO ANT. (h:mm)]]+TblApuracao[[#This Row],[SALDO MÊS (h:mm)]]</f>
        <v>0</v>
      </c>
      <c r="P80" s="24"/>
      <c r="Q80" s="24"/>
      <c r="R80" s="24"/>
      <c r="S80" s="24" t="str">
        <f>TblApuracao[[#This Row],[COLABORADOR]]&amp;TblApuracao[[#This Row],[COMPETÊNCIA]]</f>
        <v/>
      </c>
      <c r="T80" s="24">
        <f>ROW(TblApuracao[[#Headers],[COMPETÊNCIA]])</f>
        <v>2</v>
      </c>
      <c r="U80" s="24" t="str">
        <f>TblApuracao[[#This Row],[COLABORADOR]]&amp;TblApuracao[[#This Row],[COMPETÊNCIA]]</f>
        <v/>
      </c>
      <c r="V80" s="24" t="str">
        <f>INDEX(TblApuracao[COMPETÊNCIA],1)</f>
        <v>2026-03</v>
      </c>
      <c r="W80" s="25">
        <f>SUMPRODUCT((TblApuracao[COLABORADOR]="Emanuelly Ribeiro de Aguiar")*(TblApuracao[COMPETÊNCIA]&lt;="2025-09")*(TblApuracao[SALDO MÊS (h:mm)]&gt;0)*TblApuracao[SALDO MÊS (h:mm)])</f>
        <v>0.6875</v>
      </c>
    </row>
    <row r="81" spans="1:23" ht="15" customHeight="1" x14ac:dyDescent="0.25">
      <c r="A81" s="18">
        <f t="shared" si="1"/>
        <v>79</v>
      </c>
      <c r="B81" s="34"/>
      <c r="C81" s="19" t="str">
        <f>IFERROR(
  INDEX(TblCadastro[SETOR],
    MATCH(TblApuracao[[#This Row],[COLABORADOR]],TblCadastro[NOME COMPLETO],0)
  ),
  "Não cadastrado"
)</f>
        <v>Não cadastrado</v>
      </c>
      <c r="D81" s="34"/>
      <c r="E8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1" s="18" t="str">
        <f>IFERROR(
  INDEX(TblCadastro[JORNADA ATUAL (h/dia)],
    MATCH(TblApuracao[[#This Row],[COLABORADOR]],TblCadastro[NOME COMPLETO],0)
  ),
  ""
)</f>
        <v/>
      </c>
      <c r="G81" s="18" t="str">
        <f>IFERROR(
  INDEX(TblCadastro[TRABALHA SÁB?],
    MATCH(TblApuracao[[#This Row],[COLABORADOR]],TblCadastro[NOME COMPLETO],0)
  ),
  ""
)</f>
        <v/>
      </c>
      <c r="H8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1" s="34"/>
      <c r="J81" s="34"/>
      <c r="K81" s="34"/>
      <c r="L81" s="21">
        <f>TblApuracao[[#This Row],[HRS EXTRAS (h:mm)]]-TblApuracao[[#This Row],[FALTAS/ATRASOS (h:mm)]]+TblApuracao[[#This Row],[AJUSTE MANUAL (h:mm)]]</f>
        <v>0</v>
      </c>
      <c r="M81" s="21">
        <f>SUMPRODUCT((TblApuracao[COLABORADOR]=TblApuracao[[#This Row],[COLABORADOR]])*(TblApuracao[COMPETÊNCIA]&lt;=TblApuracao[[#This Row],[COMPETÊNCIA]])*TblApuracao[HRS EXTRAS (h:mm)])</f>
        <v>0</v>
      </c>
      <c r="N81" s="21">
        <f>SUMPRODUCT((TblApuracao[COLABORADOR]=TblApuracao[[#This Row],[COLABORADOR]])*(TblApuracao[COMPETÊNCIA]&lt;=TblApuracao[[#This Row],[COMPETÊNCIA]])*TblApuracao[FALTAS/ATRASOS (h:mm)])</f>
        <v>0</v>
      </c>
      <c r="O81" s="21">
        <f>TblApuracao[[#This Row],[SALDO ANT. (h:mm)]]+TblApuracao[[#This Row],[SALDO MÊS (h:mm)]]</f>
        <v>0</v>
      </c>
      <c r="P81" s="24"/>
      <c r="Q81" s="24"/>
      <c r="R81" s="24"/>
      <c r="S81" s="24" t="str">
        <f>TblApuracao[[#This Row],[COLABORADOR]]&amp;TblApuracao[[#This Row],[COMPETÊNCIA]]</f>
        <v/>
      </c>
      <c r="T81" s="24">
        <f>ROW(TblApuracao[[#Headers],[COMPETÊNCIA]])</f>
        <v>2</v>
      </c>
      <c r="U81" s="24" t="str">
        <f>TblApuracao[[#This Row],[COLABORADOR]]&amp;TblApuracao[[#This Row],[COMPETÊNCIA]]</f>
        <v/>
      </c>
      <c r="V81" s="24" t="str">
        <f>INDEX(TblApuracao[COMPETÊNCIA],1)</f>
        <v>2026-03</v>
      </c>
      <c r="W81" s="25">
        <f>SUMPRODUCT((TblApuracao[COLABORADOR]="Emanuelly Ribeiro de Aguiar")*(TblApuracao[COMPETÊNCIA]&lt;="2025-09")*(TblApuracao[SALDO MÊS (h:mm)]&gt;0)*TblApuracao[SALDO MÊS (h:mm)])</f>
        <v>0.6875</v>
      </c>
    </row>
    <row r="82" spans="1:23" ht="15" customHeight="1" x14ac:dyDescent="0.25">
      <c r="A82" s="18">
        <f t="shared" si="1"/>
        <v>80</v>
      </c>
      <c r="B82" s="34"/>
      <c r="C82" s="19" t="str">
        <f>IFERROR(
  INDEX(TblCadastro[SETOR],
    MATCH(TblApuracao[[#This Row],[COLABORADOR]],TblCadastro[NOME COMPLETO],0)
  ),
  "Não cadastrado"
)</f>
        <v>Não cadastrado</v>
      </c>
      <c r="D82" s="34"/>
      <c r="E8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2" s="18" t="str">
        <f>IFERROR(
  INDEX(TblCadastro[JORNADA ATUAL (h/dia)],
    MATCH(TblApuracao[[#This Row],[COLABORADOR]],TblCadastro[NOME COMPLETO],0)
  ),
  ""
)</f>
        <v/>
      </c>
      <c r="G82" s="18" t="str">
        <f>IFERROR(
  INDEX(TblCadastro[TRABALHA SÁB?],
    MATCH(TblApuracao[[#This Row],[COLABORADOR]],TblCadastro[NOME COMPLETO],0)
  ),
  ""
)</f>
        <v/>
      </c>
      <c r="H8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2" s="34"/>
      <c r="J82" s="34"/>
      <c r="K82" s="34"/>
      <c r="L82" s="21">
        <f>TblApuracao[[#This Row],[HRS EXTRAS (h:mm)]]-TblApuracao[[#This Row],[FALTAS/ATRASOS (h:mm)]]+TblApuracao[[#This Row],[AJUSTE MANUAL (h:mm)]]</f>
        <v>0</v>
      </c>
      <c r="M82" s="21">
        <f>SUMPRODUCT((TblApuracao[COLABORADOR]=TblApuracao[[#This Row],[COLABORADOR]])*(TblApuracao[COMPETÊNCIA]&lt;=TblApuracao[[#This Row],[COMPETÊNCIA]])*TblApuracao[HRS EXTRAS (h:mm)])</f>
        <v>0</v>
      </c>
      <c r="N82" s="21">
        <f>SUMPRODUCT((TblApuracao[COLABORADOR]=TblApuracao[[#This Row],[COLABORADOR]])*(TblApuracao[COMPETÊNCIA]&lt;=TblApuracao[[#This Row],[COMPETÊNCIA]])*TblApuracao[FALTAS/ATRASOS (h:mm)])</f>
        <v>0</v>
      </c>
      <c r="O82" s="21">
        <f>TblApuracao[[#This Row],[SALDO ANT. (h:mm)]]+TblApuracao[[#This Row],[SALDO MÊS (h:mm)]]</f>
        <v>0</v>
      </c>
      <c r="P82" s="24"/>
      <c r="Q82" s="24"/>
      <c r="R82" s="24"/>
      <c r="S82" s="24" t="str">
        <f>TblApuracao[[#This Row],[COLABORADOR]]&amp;TblApuracao[[#This Row],[COMPETÊNCIA]]</f>
        <v/>
      </c>
      <c r="T82" s="24">
        <f>ROW(TblApuracao[[#Headers],[COMPETÊNCIA]])</f>
        <v>2</v>
      </c>
      <c r="U82" s="24" t="str">
        <f>TblApuracao[[#This Row],[COLABORADOR]]&amp;TblApuracao[[#This Row],[COMPETÊNCIA]]</f>
        <v/>
      </c>
      <c r="V82" s="24" t="str">
        <f>INDEX(TblApuracao[COMPETÊNCIA],1)</f>
        <v>2026-03</v>
      </c>
      <c r="W82" s="25">
        <f>SUMPRODUCT((TblApuracao[COLABORADOR]="Emanuelly Ribeiro de Aguiar")*(TblApuracao[COMPETÊNCIA]&lt;="2025-09")*(TblApuracao[SALDO MÊS (h:mm)]&gt;0)*TblApuracao[SALDO MÊS (h:mm)])</f>
        <v>0.6875</v>
      </c>
    </row>
    <row r="83" spans="1:23" ht="15" customHeight="1" x14ac:dyDescent="0.25">
      <c r="A83" s="18">
        <f t="shared" si="1"/>
        <v>81</v>
      </c>
      <c r="B83" s="34"/>
      <c r="C83" s="19" t="str">
        <f>IFERROR(
  INDEX(TblCadastro[SETOR],
    MATCH(TblApuracao[[#This Row],[COLABORADOR]],TblCadastro[NOME COMPLETO],0)
  ),
  "Não cadastrado"
)</f>
        <v>Não cadastrado</v>
      </c>
      <c r="D83" s="34"/>
      <c r="E8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3" s="18" t="str">
        <f>IFERROR(
  INDEX(TblCadastro[JORNADA ATUAL (h/dia)],
    MATCH(TblApuracao[[#This Row],[COLABORADOR]],TblCadastro[NOME COMPLETO],0)
  ),
  ""
)</f>
        <v/>
      </c>
      <c r="G83" s="18" t="str">
        <f>IFERROR(
  INDEX(TblCadastro[TRABALHA SÁB?],
    MATCH(TblApuracao[[#This Row],[COLABORADOR]],TblCadastro[NOME COMPLETO],0)
  ),
  ""
)</f>
        <v/>
      </c>
      <c r="H8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3" s="34"/>
      <c r="J83" s="34"/>
      <c r="K83" s="34"/>
      <c r="L83" s="21">
        <f>TblApuracao[[#This Row],[HRS EXTRAS (h:mm)]]-TblApuracao[[#This Row],[FALTAS/ATRASOS (h:mm)]]+TblApuracao[[#This Row],[AJUSTE MANUAL (h:mm)]]</f>
        <v>0</v>
      </c>
      <c r="M83" s="21">
        <f>SUMPRODUCT((TblApuracao[COLABORADOR]=TblApuracao[[#This Row],[COLABORADOR]])*(TblApuracao[COMPETÊNCIA]&lt;=TblApuracao[[#This Row],[COMPETÊNCIA]])*TblApuracao[HRS EXTRAS (h:mm)])</f>
        <v>0</v>
      </c>
      <c r="N83" s="21">
        <f>SUMPRODUCT((TblApuracao[COLABORADOR]=TblApuracao[[#This Row],[COLABORADOR]])*(TblApuracao[COMPETÊNCIA]&lt;=TblApuracao[[#This Row],[COMPETÊNCIA]])*TblApuracao[FALTAS/ATRASOS (h:mm)])</f>
        <v>0</v>
      </c>
      <c r="O83" s="21">
        <f>TblApuracao[[#This Row],[SALDO ANT. (h:mm)]]+TblApuracao[[#This Row],[SALDO MÊS (h:mm)]]</f>
        <v>0</v>
      </c>
      <c r="P83" s="24"/>
      <c r="Q83" s="24"/>
      <c r="R83" s="24"/>
      <c r="S83" s="24" t="str">
        <f>TblApuracao[[#This Row],[COLABORADOR]]&amp;TblApuracao[[#This Row],[COMPETÊNCIA]]</f>
        <v/>
      </c>
      <c r="T83" s="24">
        <f>ROW(TblApuracao[[#Headers],[COMPETÊNCIA]])</f>
        <v>2</v>
      </c>
      <c r="U83" s="24" t="str">
        <f>TblApuracao[[#This Row],[COLABORADOR]]&amp;TblApuracao[[#This Row],[COMPETÊNCIA]]</f>
        <v/>
      </c>
      <c r="V83" s="24" t="str">
        <f>INDEX(TblApuracao[COMPETÊNCIA],1)</f>
        <v>2026-03</v>
      </c>
      <c r="W83" s="25">
        <f>SUMPRODUCT((TblApuracao[COLABORADOR]="Emanuelly Ribeiro de Aguiar")*(TblApuracao[COMPETÊNCIA]&lt;="2025-09")*(TblApuracao[SALDO MÊS (h:mm)]&gt;0)*TblApuracao[SALDO MÊS (h:mm)])</f>
        <v>0.6875</v>
      </c>
    </row>
    <row r="84" spans="1:23" ht="15" customHeight="1" x14ac:dyDescent="0.25">
      <c r="A84" s="18">
        <f t="shared" si="1"/>
        <v>82</v>
      </c>
      <c r="B84" s="34"/>
      <c r="C84" s="19" t="str">
        <f>IFERROR(
  INDEX(TblCadastro[SETOR],
    MATCH(TblApuracao[[#This Row],[COLABORADOR]],TblCadastro[NOME COMPLETO],0)
  ),
  "Não cadastrado"
)</f>
        <v>Não cadastrado</v>
      </c>
      <c r="D84" s="34"/>
      <c r="E8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4" s="18" t="str">
        <f>IFERROR(
  INDEX(TblCadastro[JORNADA ATUAL (h/dia)],
    MATCH(TblApuracao[[#This Row],[COLABORADOR]],TblCadastro[NOME COMPLETO],0)
  ),
  ""
)</f>
        <v/>
      </c>
      <c r="G84" s="18" t="str">
        <f>IFERROR(
  INDEX(TblCadastro[TRABALHA SÁB?],
    MATCH(TblApuracao[[#This Row],[COLABORADOR]],TblCadastro[NOME COMPLETO],0)
  ),
  ""
)</f>
        <v/>
      </c>
      <c r="H8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4" s="34"/>
      <c r="J84" s="34"/>
      <c r="K84" s="34"/>
      <c r="L84" s="21">
        <f>TblApuracao[[#This Row],[HRS EXTRAS (h:mm)]]-TblApuracao[[#This Row],[FALTAS/ATRASOS (h:mm)]]+TblApuracao[[#This Row],[AJUSTE MANUAL (h:mm)]]</f>
        <v>0</v>
      </c>
      <c r="M84" s="21">
        <f>SUMPRODUCT((TblApuracao[COLABORADOR]=TblApuracao[[#This Row],[COLABORADOR]])*(TblApuracao[COMPETÊNCIA]&lt;=TblApuracao[[#This Row],[COMPETÊNCIA]])*TblApuracao[HRS EXTRAS (h:mm)])</f>
        <v>0</v>
      </c>
      <c r="N84" s="21">
        <f>SUMPRODUCT((TblApuracao[COLABORADOR]=TblApuracao[[#This Row],[COLABORADOR]])*(TblApuracao[COMPETÊNCIA]&lt;=TblApuracao[[#This Row],[COMPETÊNCIA]])*TblApuracao[FALTAS/ATRASOS (h:mm)])</f>
        <v>0</v>
      </c>
      <c r="O84" s="21">
        <f>TblApuracao[[#This Row],[SALDO ANT. (h:mm)]]+TblApuracao[[#This Row],[SALDO MÊS (h:mm)]]</f>
        <v>0</v>
      </c>
      <c r="P84" s="24"/>
      <c r="Q84" s="24"/>
      <c r="R84" s="24"/>
      <c r="S84" s="24" t="str">
        <f>TblApuracao[[#This Row],[COLABORADOR]]&amp;TblApuracao[[#This Row],[COMPETÊNCIA]]</f>
        <v/>
      </c>
      <c r="T84" s="24">
        <f>ROW(TblApuracao[[#Headers],[COMPETÊNCIA]])</f>
        <v>2</v>
      </c>
      <c r="U84" s="24" t="str">
        <f>TblApuracao[[#This Row],[COLABORADOR]]&amp;TblApuracao[[#This Row],[COMPETÊNCIA]]</f>
        <v/>
      </c>
      <c r="V84" s="24" t="str">
        <f>INDEX(TblApuracao[COMPETÊNCIA],1)</f>
        <v>2026-03</v>
      </c>
      <c r="W84" s="25">
        <f>SUMPRODUCT((TblApuracao[COLABORADOR]="Emanuelly Ribeiro de Aguiar")*(TblApuracao[COMPETÊNCIA]&lt;="2025-09")*(TblApuracao[SALDO MÊS (h:mm)]&gt;0)*TblApuracao[SALDO MÊS (h:mm)])</f>
        <v>0.6875</v>
      </c>
    </row>
    <row r="85" spans="1:23" ht="15" customHeight="1" x14ac:dyDescent="0.25">
      <c r="A85" s="18">
        <f t="shared" si="1"/>
        <v>83</v>
      </c>
      <c r="B85" s="34"/>
      <c r="C85" s="19" t="str">
        <f>IFERROR(
  INDEX(TblCadastro[SETOR],
    MATCH(TblApuracao[[#This Row],[COLABORADOR]],TblCadastro[NOME COMPLETO],0)
  ),
  "Não cadastrado"
)</f>
        <v>Não cadastrado</v>
      </c>
      <c r="D85" s="34"/>
      <c r="E8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5" s="18" t="str">
        <f>IFERROR(
  INDEX(TblCadastro[JORNADA ATUAL (h/dia)],
    MATCH(TblApuracao[[#This Row],[COLABORADOR]],TblCadastro[NOME COMPLETO],0)
  ),
  ""
)</f>
        <v/>
      </c>
      <c r="G85" s="18" t="str">
        <f>IFERROR(
  INDEX(TblCadastro[TRABALHA SÁB?],
    MATCH(TblApuracao[[#This Row],[COLABORADOR]],TblCadastro[NOME COMPLETO],0)
  ),
  ""
)</f>
        <v/>
      </c>
      <c r="H8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5" s="34"/>
      <c r="J85" s="34"/>
      <c r="K85" s="34"/>
      <c r="L85" s="21">
        <f>TblApuracao[[#This Row],[HRS EXTRAS (h:mm)]]-TblApuracao[[#This Row],[FALTAS/ATRASOS (h:mm)]]+TblApuracao[[#This Row],[AJUSTE MANUAL (h:mm)]]</f>
        <v>0</v>
      </c>
      <c r="M85" s="21">
        <f>SUMPRODUCT((TblApuracao[COLABORADOR]=TblApuracao[[#This Row],[COLABORADOR]])*(TblApuracao[COMPETÊNCIA]&lt;=TblApuracao[[#This Row],[COMPETÊNCIA]])*TblApuracao[HRS EXTRAS (h:mm)])</f>
        <v>0</v>
      </c>
      <c r="N85" s="21">
        <f>SUMPRODUCT((TblApuracao[COLABORADOR]=TblApuracao[[#This Row],[COLABORADOR]])*(TblApuracao[COMPETÊNCIA]&lt;=TblApuracao[[#This Row],[COMPETÊNCIA]])*TblApuracao[FALTAS/ATRASOS (h:mm)])</f>
        <v>0</v>
      </c>
      <c r="O85" s="21">
        <f>TblApuracao[[#This Row],[SALDO ANT. (h:mm)]]+TblApuracao[[#This Row],[SALDO MÊS (h:mm)]]</f>
        <v>0</v>
      </c>
      <c r="P85" s="24"/>
      <c r="Q85" s="24"/>
      <c r="R85" s="24"/>
      <c r="S85" s="24" t="str">
        <f>TblApuracao[[#This Row],[COLABORADOR]]&amp;TblApuracao[[#This Row],[COMPETÊNCIA]]</f>
        <v/>
      </c>
      <c r="T85" s="24">
        <f>ROW(TblApuracao[[#Headers],[COMPETÊNCIA]])</f>
        <v>2</v>
      </c>
      <c r="U85" s="24" t="str">
        <f>TblApuracao[[#This Row],[COLABORADOR]]&amp;TblApuracao[[#This Row],[COMPETÊNCIA]]</f>
        <v/>
      </c>
      <c r="V85" s="24" t="str">
        <f>INDEX(TblApuracao[COMPETÊNCIA],1)</f>
        <v>2026-03</v>
      </c>
      <c r="W85" s="25">
        <f>SUMPRODUCT((TblApuracao[COLABORADOR]="Emanuelly Ribeiro de Aguiar")*(TblApuracao[COMPETÊNCIA]&lt;="2025-09")*(TblApuracao[SALDO MÊS (h:mm)]&gt;0)*TblApuracao[SALDO MÊS (h:mm)])</f>
        <v>0.6875</v>
      </c>
    </row>
    <row r="86" spans="1:23" ht="15" customHeight="1" x14ac:dyDescent="0.25">
      <c r="A86" s="18">
        <f t="shared" si="1"/>
        <v>84</v>
      </c>
      <c r="B86" s="34"/>
      <c r="C86" s="19" t="str">
        <f>IFERROR(
  INDEX(TblCadastro[SETOR],
    MATCH(TblApuracao[[#This Row],[COLABORADOR]],TblCadastro[NOME COMPLETO],0)
  ),
  "Não cadastrado"
)</f>
        <v>Não cadastrado</v>
      </c>
      <c r="D86" s="34"/>
      <c r="E8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6" s="18" t="str">
        <f>IFERROR(
  INDEX(TblCadastro[JORNADA ATUAL (h/dia)],
    MATCH(TblApuracao[[#This Row],[COLABORADOR]],TblCadastro[NOME COMPLETO],0)
  ),
  ""
)</f>
        <v/>
      </c>
      <c r="G86" s="18" t="str">
        <f>IFERROR(
  INDEX(TblCadastro[TRABALHA SÁB?],
    MATCH(TblApuracao[[#This Row],[COLABORADOR]],TblCadastro[NOME COMPLETO],0)
  ),
  ""
)</f>
        <v/>
      </c>
      <c r="H8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6" s="34"/>
      <c r="J86" s="34"/>
      <c r="K86" s="34"/>
      <c r="L86" s="21">
        <f>TblApuracao[[#This Row],[HRS EXTRAS (h:mm)]]-TblApuracao[[#This Row],[FALTAS/ATRASOS (h:mm)]]+TblApuracao[[#This Row],[AJUSTE MANUAL (h:mm)]]</f>
        <v>0</v>
      </c>
      <c r="M86" s="21">
        <f>SUMPRODUCT((TblApuracao[COLABORADOR]=TblApuracao[[#This Row],[COLABORADOR]])*(TblApuracao[COMPETÊNCIA]&lt;=TblApuracao[[#This Row],[COMPETÊNCIA]])*TblApuracao[HRS EXTRAS (h:mm)])</f>
        <v>0</v>
      </c>
      <c r="N86" s="21">
        <f>SUMPRODUCT((TblApuracao[COLABORADOR]=TblApuracao[[#This Row],[COLABORADOR]])*(TblApuracao[COMPETÊNCIA]&lt;=TblApuracao[[#This Row],[COMPETÊNCIA]])*TblApuracao[FALTAS/ATRASOS (h:mm)])</f>
        <v>0</v>
      </c>
      <c r="O86" s="21">
        <f>TblApuracao[[#This Row],[SALDO ANT. (h:mm)]]+TblApuracao[[#This Row],[SALDO MÊS (h:mm)]]</f>
        <v>0</v>
      </c>
      <c r="P86" s="24"/>
      <c r="Q86" s="24"/>
      <c r="R86" s="24"/>
      <c r="S86" s="24" t="str">
        <f>TblApuracao[[#This Row],[COLABORADOR]]&amp;TblApuracao[[#This Row],[COMPETÊNCIA]]</f>
        <v/>
      </c>
      <c r="T86" s="24">
        <f>ROW(TblApuracao[[#Headers],[COMPETÊNCIA]])</f>
        <v>2</v>
      </c>
      <c r="U86" s="24" t="str">
        <f>TblApuracao[[#This Row],[COLABORADOR]]&amp;TblApuracao[[#This Row],[COMPETÊNCIA]]</f>
        <v/>
      </c>
      <c r="V86" s="24" t="str">
        <f>INDEX(TblApuracao[COMPETÊNCIA],1)</f>
        <v>2026-03</v>
      </c>
      <c r="W86" s="25">
        <f>SUMPRODUCT((TblApuracao[COLABORADOR]="Emanuelly Ribeiro de Aguiar")*(TblApuracao[COMPETÊNCIA]&lt;="2025-09")*(TblApuracao[SALDO MÊS (h:mm)]&gt;0)*TblApuracao[SALDO MÊS (h:mm)])</f>
        <v>0.6875</v>
      </c>
    </row>
    <row r="87" spans="1:23" ht="15" customHeight="1" x14ac:dyDescent="0.25">
      <c r="A87" s="18">
        <f t="shared" si="1"/>
        <v>85</v>
      </c>
      <c r="B87" s="34"/>
      <c r="C87" s="19" t="str">
        <f>IFERROR(
  INDEX(TblCadastro[SETOR],
    MATCH(TblApuracao[[#This Row],[COLABORADOR]],TblCadastro[NOME COMPLETO],0)
  ),
  "Não cadastrado"
)</f>
        <v>Não cadastrado</v>
      </c>
      <c r="D87" s="34"/>
      <c r="E8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7" s="18" t="str">
        <f>IFERROR(
  INDEX(TblCadastro[JORNADA ATUAL (h/dia)],
    MATCH(TblApuracao[[#This Row],[COLABORADOR]],TblCadastro[NOME COMPLETO],0)
  ),
  ""
)</f>
        <v/>
      </c>
      <c r="G87" s="18" t="str">
        <f>IFERROR(
  INDEX(TblCadastro[TRABALHA SÁB?],
    MATCH(TblApuracao[[#This Row],[COLABORADOR]],TblCadastro[NOME COMPLETO],0)
  ),
  ""
)</f>
        <v/>
      </c>
      <c r="H8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7" s="34"/>
      <c r="J87" s="34"/>
      <c r="K87" s="34"/>
      <c r="L87" s="21">
        <f>TblApuracao[[#This Row],[HRS EXTRAS (h:mm)]]-TblApuracao[[#This Row],[FALTAS/ATRASOS (h:mm)]]+TblApuracao[[#This Row],[AJUSTE MANUAL (h:mm)]]</f>
        <v>0</v>
      </c>
      <c r="M87" s="21">
        <f>SUMPRODUCT((TblApuracao[COLABORADOR]=TblApuracao[[#This Row],[COLABORADOR]])*(TblApuracao[COMPETÊNCIA]&lt;=TblApuracao[[#This Row],[COMPETÊNCIA]])*TblApuracao[HRS EXTRAS (h:mm)])</f>
        <v>0</v>
      </c>
      <c r="N87" s="21">
        <f>SUMPRODUCT((TblApuracao[COLABORADOR]=TblApuracao[[#This Row],[COLABORADOR]])*(TblApuracao[COMPETÊNCIA]&lt;=TblApuracao[[#This Row],[COMPETÊNCIA]])*TblApuracao[FALTAS/ATRASOS (h:mm)])</f>
        <v>0</v>
      </c>
      <c r="O87" s="21">
        <f>TblApuracao[[#This Row],[SALDO ANT. (h:mm)]]+TblApuracao[[#This Row],[SALDO MÊS (h:mm)]]</f>
        <v>0</v>
      </c>
      <c r="P87" s="24"/>
      <c r="Q87" s="24"/>
      <c r="R87" s="24"/>
      <c r="S87" s="24" t="str">
        <f>TblApuracao[[#This Row],[COLABORADOR]]&amp;TblApuracao[[#This Row],[COMPETÊNCIA]]</f>
        <v/>
      </c>
      <c r="T87" s="24">
        <f>ROW(TblApuracao[[#Headers],[COMPETÊNCIA]])</f>
        <v>2</v>
      </c>
      <c r="U87" s="24" t="str">
        <f>TblApuracao[[#This Row],[COLABORADOR]]&amp;TblApuracao[[#This Row],[COMPETÊNCIA]]</f>
        <v/>
      </c>
      <c r="V87" s="24" t="str">
        <f>INDEX(TblApuracao[COMPETÊNCIA],1)</f>
        <v>2026-03</v>
      </c>
      <c r="W87" s="25">
        <f>SUMPRODUCT((TblApuracao[COLABORADOR]="Emanuelly Ribeiro de Aguiar")*(TblApuracao[COMPETÊNCIA]&lt;="2025-09")*(TblApuracao[SALDO MÊS (h:mm)]&gt;0)*TblApuracao[SALDO MÊS (h:mm)])</f>
        <v>0.6875</v>
      </c>
    </row>
    <row r="88" spans="1:23" ht="15" customHeight="1" x14ac:dyDescent="0.25">
      <c r="A88" s="18">
        <f t="shared" si="1"/>
        <v>86</v>
      </c>
      <c r="B88" s="34"/>
      <c r="C88" s="19" t="str">
        <f>IFERROR(
  INDEX(TblCadastro[SETOR],
    MATCH(TblApuracao[[#This Row],[COLABORADOR]],TblCadastro[NOME COMPLETO],0)
  ),
  "Não cadastrado"
)</f>
        <v>Não cadastrado</v>
      </c>
      <c r="D88" s="34"/>
      <c r="E8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8" s="18" t="str">
        <f>IFERROR(
  INDEX(TblCadastro[JORNADA ATUAL (h/dia)],
    MATCH(TblApuracao[[#This Row],[COLABORADOR]],TblCadastro[NOME COMPLETO],0)
  ),
  ""
)</f>
        <v/>
      </c>
      <c r="G88" s="18" t="str">
        <f>IFERROR(
  INDEX(TblCadastro[TRABALHA SÁB?],
    MATCH(TblApuracao[[#This Row],[COLABORADOR]],TblCadastro[NOME COMPLETO],0)
  ),
  ""
)</f>
        <v/>
      </c>
      <c r="H8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8" s="34"/>
      <c r="J88" s="34"/>
      <c r="K88" s="34"/>
      <c r="L88" s="21">
        <f>TblApuracao[[#This Row],[HRS EXTRAS (h:mm)]]-TblApuracao[[#This Row],[FALTAS/ATRASOS (h:mm)]]+TblApuracao[[#This Row],[AJUSTE MANUAL (h:mm)]]</f>
        <v>0</v>
      </c>
      <c r="M88" s="21">
        <f>SUMPRODUCT((TblApuracao[COLABORADOR]=TblApuracao[[#This Row],[COLABORADOR]])*(TblApuracao[COMPETÊNCIA]&lt;=TblApuracao[[#This Row],[COMPETÊNCIA]])*TblApuracao[HRS EXTRAS (h:mm)])</f>
        <v>0</v>
      </c>
      <c r="N88" s="21">
        <f>SUMPRODUCT((TblApuracao[COLABORADOR]=TblApuracao[[#This Row],[COLABORADOR]])*(TblApuracao[COMPETÊNCIA]&lt;=TblApuracao[[#This Row],[COMPETÊNCIA]])*TblApuracao[FALTAS/ATRASOS (h:mm)])</f>
        <v>0</v>
      </c>
      <c r="O88" s="21">
        <f>TblApuracao[[#This Row],[SALDO ANT. (h:mm)]]+TblApuracao[[#This Row],[SALDO MÊS (h:mm)]]</f>
        <v>0</v>
      </c>
      <c r="P88" s="24"/>
      <c r="Q88" s="24"/>
      <c r="R88" s="24"/>
      <c r="S88" s="24" t="str">
        <f>TblApuracao[[#This Row],[COLABORADOR]]&amp;TblApuracao[[#This Row],[COMPETÊNCIA]]</f>
        <v/>
      </c>
      <c r="T88" s="24">
        <f>ROW(TblApuracao[[#Headers],[COMPETÊNCIA]])</f>
        <v>2</v>
      </c>
      <c r="U88" s="24" t="str">
        <f>TblApuracao[[#This Row],[COLABORADOR]]&amp;TblApuracao[[#This Row],[COMPETÊNCIA]]</f>
        <v/>
      </c>
      <c r="V88" s="24" t="str">
        <f>INDEX(TblApuracao[COMPETÊNCIA],1)</f>
        <v>2026-03</v>
      </c>
      <c r="W88" s="25">
        <f>SUMPRODUCT((TblApuracao[COLABORADOR]="Emanuelly Ribeiro de Aguiar")*(TblApuracao[COMPETÊNCIA]&lt;="2025-09")*(TblApuracao[SALDO MÊS (h:mm)]&gt;0)*TblApuracao[SALDO MÊS (h:mm)])</f>
        <v>0.6875</v>
      </c>
    </row>
    <row r="89" spans="1:23" ht="15" customHeight="1" x14ac:dyDescent="0.25">
      <c r="A89" s="18">
        <f t="shared" si="1"/>
        <v>87</v>
      </c>
      <c r="B89" s="34"/>
      <c r="C89" s="19" t="str">
        <f>IFERROR(
  INDEX(TblCadastro[SETOR],
    MATCH(TblApuracao[[#This Row],[COLABORADOR]],TblCadastro[NOME COMPLETO],0)
  ),
  "Não cadastrado"
)</f>
        <v>Não cadastrado</v>
      </c>
      <c r="D89" s="34"/>
      <c r="E8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9" s="18" t="str">
        <f>IFERROR(
  INDEX(TblCadastro[JORNADA ATUAL (h/dia)],
    MATCH(TblApuracao[[#This Row],[COLABORADOR]],TblCadastro[NOME COMPLETO],0)
  ),
  ""
)</f>
        <v/>
      </c>
      <c r="G89" s="18" t="str">
        <f>IFERROR(
  INDEX(TblCadastro[TRABALHA SÁB?],
    MATCH(TblApuracao[[#This Row],[COLABORADOR]],TblCadastro[NOME COMPLETO],0)
  ),
  ""
)</f>
        <v/>
      </c>
      <c r="H8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9" s="34"/>
      <c r="J89" s="34"/>
      <c r="K89" s="34"/>
      <c r="L89" s="21">
        <f>TblApuracao[[#This Row],[HRS EXTRAS (h:mm)]]-TblApuracao[[#This Row],[FALTAS/ATRASOS (h:mm)]]+TblApuracao[[#This Row],[AJUSTE MANUAL (h:mm)]]</f>
        <v>0</v>
      </c>
      <c r="M89" s="21">
        <f>SUMPRODUCT((TblApuracao[COLABORADOR]=TblApuracao[[#This Row],[COLABORADOR]])*(TblApuracao[COMPETÊNCIA]&lt;=TblApuracao[[#This Row],[COMPETÊNCIA]])*TblApuracao[HRS EXTRAS (h:mm)])</f>
        <v>0</v>
      </c>
      <c r="N89" s="21">
        <f>SUMPRODUCT((TblApuracao[COLABORADOR]=TblApuracao[[#This Row],[COLABORADOR]])*(TblApuracao[COMPETÊNCIA]&lt;=TblApuracao[[#This Row],[COMPETÊNCIA]])*TblApuracao[FALTAS/ATRASOS (h:mm)])</f>
        <v>0</v>
      </c>
      <c r="O89" s="21">
        <f>TblApuracao[[#This Row],[SALDO ANT. (h:mm)]]+TblApuracao[[#This Row],[SALDO MÊS (h:mm)]]</f>
        <v>0</v>
      </c>
      <c r="P89" s="24"/>
      <c r="Q89" s="24"/>
      <c r="R89" s="24"/>
      <c r="S89" s="24" t="str">
        <f>TblApuracao[[#This Row],[COLABORADOR]]&amp;TblApuracao[[#This Row],[COMPETÊNCIA]]</f>
        <v/>
      </c>
      <c r="T89" s="24">
        <f>ROW(TblApuracao[[#Headers],[COMPETÊNCIA]])</f>
        <v>2</v>
      </c>
      <c r="U89" s="24" t="str">
        <f>TblApuracao[[#This Row],[COLABORADOR]]&amp;TblApuracao[[#This Row],[COMPETÊNCIA]]</f>
        <v/>
      </c>
      <c r="V89" s="24" t="str">
        <f>INDEX(TblApuracao[COMPETÊNCIA],1)</f>
        <v>2026-03</v>
      </c>
      <c r="W89" s="25">
        <f>SUMPRODUCT((TblApuracao[COLABORADOR]="Emanuelly Ribeiro de Aguiar")*(TblApuracao[COMPETÊNCIA]&lt;="2025-09")*(TblApuracao[SALDO MÊS (h:mm)]&gt;0)*TblApuracao[SALDO MÊS (h:mm)])</f>
        <v>0.6875</v>
      </c>
    </row>
    <row r="90" spans="1:23" ht="15" customHeight="1" x14ac:dyDescent="0.25">
      <c r="A90" s="18">
        <f t="shared" si="1"/>
        <v>88</v>
      </c>
      <c r="B90" s="34"/>
      <c r="C90" s="19" t="str">
        <f>IFERROR(
  INDEX(TblCadastro[SETOR],
    MATCH(TblApuracao[[#This Row],[COLABORADOR]],TblCadastro[NOME COMPLETO],0)
  ),
  "Não cadastrado"
)</f>
        <v>Não cadastrado</v>
      </c>
      <c r="D90" s="34"/>
      <c r="E9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0" s="18" t="str">
        <f>IFERROR(
  INDEX(TblCadastro[JORNADA ATUAL (h/dia)],
    MATCH(TblApuracao[[#This Row],[COLABORADOR]],TblCadastro[NOME COMPLETO],0)
  ),
  ""
)</f>
        <v/>
      </c>
      <c r="G90" s="18" t="str">
        <f>IFERROR(
  INDEX(TblCadastro[TRABALHA SÁB?],
    MATCH(TblApuracao[[#This Row],[COLABORADOR]],TblCadastro[NOME COMPLETO],0)
  ),
  ""
)</f>
        <v/>
      </c>
      <c r="H9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0" s="34"/>
      <c r="J90" s="34"/>
      <c r="K90" s="34"/>
      <c r="L90" s="21">
        <f>TblApuracao[[#This Row],[HRS EXTRAS (h:mm)]]-TblApuracao[[#This Row],[FALTAS/ATRASOS (h:mm)]]+TblApuracao[[#This Row],[AJUSTE MANUAL (h:mm)]]</f>
        <v>0</v>
      </c>
      <c r="M90" s="21">
        <f>SUMPRODUCT((TblApuracao[COLABORADOR]=TblApuracao[[#This Row],[COLABORADOR]])*(TblApuracao[COMPETÊNCIA]&lt;=TblApuracao[[#This Row],[COMPETÊNCIA]])*TblApuracao[HRS EXTRAS (h:mm)])</f>
        <v>0</v>
      </c>
      <c r="N90" s="21">
        <f>SUMPRODUCT((TblApuracao[COLABORADOR]=TblApuracao[[#This Row],[COLABORADOR]])*(TblApuracao[COMPETÊNCIA]&lt;=TblApuracao[[#This Row],[COMPETÊNCIA]])*TblApuracao[FALTAS/ATRASOS (h:mm)])</f>
        <v>0</v>
      </c>
      <c r="O90" s="21">
        <f>TblApuracao[[#This Row],[SALDO ANT. (h:mm)]]+TblApuracao[[#This Row],[SALDO MÊS (h:mm)]]</f>
        <v>0</v>
      </c>
      <c r="P90" s="24"/>
      <c r="Q90" s="24"/>
      <c r="R90" s="24"/>
      <c r="S90" s="24" t="str">
        <f>TblApuracao[[#This Row],[COLABORADOR]]&amp;TblApuracao[[#This Row],[COMPETÊNCIA]]</f>
        <v/>
      </c>
      <c r="T90" s="24">
        <f>ROW(TblApuracao[[#Headers],[COMPETÊNCIA]])</f>
        <v>2</v>
      </c>
      <c r="U90" s="24" t="str">
        <f>TblApuracao[[#This Row],[COLABORADOR]]&amp;TblApuracao[[#This Row],[COMPETÊNCIA]]</f>
        <v/>
      </c>
      <c r="V90" s="24" t="str">
        <f>INDEX(TblApuracao[COMPETÊNCIA],1)</f>
        <v>2026-03</v>
      </c>
      <c r="W90" s="25">
        <f>SUMPRODUCT((TblApuracao[COLABORADOR]="Emanuelly Ribeiro de Aguiar")*(TblApuracao[COMPETÊNCIA]&lt;="2025-09")*(TblApuracao[SALDO MÊS (h:mm)]&gt;0)*TblApuracao[SALDO MÊS (h:mm)])</f>
        <v>0.6875</v>
      </c>
    </row>
    <row r="91" spans="1:23" ht="15" customHeight="1" x14ac:dyDescent="0.25">
      <c r="A91" s="18">
        <f t="shared" si="1"/>
        <v>89</v>
      </c>
      <c r="B91" s="34"/>
      <c r="C91" s="19" t="str">
        <f>IFERROR(
  INDEX(TblCadastro[SETOR],
    MATCH(TblApuracao[[#This Row],[COLABORADOR]],TblCadastro[NOME COMPLETO],0)
  ),
  "Não cadastrado"
)</f>
        <v>Não cadastrado</v>
      </c>
      <c r="D91" s="34"/>
      <c r="E9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1" s="18" t="str">
        <f>IFERROR(
  INDEX(TblCadastro[JORNADA ATUAL (h/dia)],
    MATCH(TblApuracao[[#This Row],[COLABORADOR]],TblCadastro[NOME COMPLETO],0)
  ),
  ""
)</f>
        <v/>
      </c>
      <c r="G91" s="18" t="str">
        <f>IFERROR(
  INDEX(TblCadastro[TRABALHA SÁB?],
    MATCH(TblApuracao[[#This Row],[COLABORADOR]],TblCadastro[NOME COMPLETO],0)
  ),
  ""
)</f>
        <v/>
      </c>
      <c r="H9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1" s="34"/>
      <c r="J91" s="34"/>
      <c r="K91" s="34"/>
      <c r="L91" s="21">
        <f>TblApuracao[[#This Row],[HRS EXTRAS (h:mm)]]-TblApuracao[[#This Row],[FALTAS/ATRASOS (h:mm)]]+TblApuracao[[#This Row],[AJUSTE MANUAL (h:mm)]]</f>
        <v>0</v>
      </c>
      <c r="M91" s="21">
        <f>SUMPRODUCT((TblApuracao[COLABORADOR]=TblApuracao[[#This Row],[COLABORADOR]])*(TblApuracao[COMPETÊNCIA]&lt;=TblApuracao[[#This Row],[COMPETÊNCIA]])*TblApuracao[HRS EXTRAS (h:mm)])</f>
        <v>0</v>
      </c>
      <c r="N91" s="21">
        <f>SUMPRODUCT((TblApuracao[COLABORADOR]=TblApuracao[[#This Row],[COLABORADOR]])*(TblApuracao[COMPETÊNCIA]&lt;=TblApuracao[[#This Row],[COMPETÊNCIA]])*TblApuracao[FALTAS/ATRASOS (h:mm)])</f>
        <v>0</v>
      </c>
      <c r="O91" s="21">
        <f>TblApuracao[[#This Row],[SALDO ANT. (h:mm)]]+TblApuracao[[#This Row],[SALDO MÊS (h:mm)]]</f>
        <v>0</v>
      </c>
      <c r="P91" s="24"/>
      <c r="Q91" s="24"/>
      <c r="R91" s="24"/>
      <c r="S91" s="24" t="str">
        <f>TblApuracao[[#This Row],[COLABORADOR]]&amp;TblApuracao[[#This Row],[COMPETÊNCIA]]</f>
        <v/>
      </c>
      <c r="T91" s="24">
        <f>ROW(TblApuracao[[#Headers],[COMPETÊNCIA]])</f>
        <v>2</v>
      </c>
      <c r="U91" s="24" t="str">
        <f>TblApuracao[[#This Row],[COLABORADOR]]&amp;TblApuracao[[#This Row],[COMPETÊNCIA]]</f>
        <v/>
      </c>
      <c r="V91" s="24" t="str">
        <f>INDEX(TblApuracao[COMPETÊNCIA],1)</f>
        <v>2026-03</v>
      </c>
      <c r="W91" s="25">
        <f>SUMPRODUCT((TblApuracao[COLABORADOR]="Emanuelly Ribeiro de Aguiar")*(TblApuracao[COMPETÊNCIA]&lt;="2025-09")*(TblApuracao[SALDO MÊS (h:mm)]&gt;0)*TblApuracao[SALDO MÊS (h:mm)])</f>
        <v>0.6875</v>
      </c>
    </row>
    <row r="92" spans="1:23" ht="15" customHeight="1" x14ac:dyDescent="0.25">
      <c r="A92" s="18">
        <f t="shared" si="1"/>
        <v>90</v>
      </c>
      <c r="B92" s="34"/>
      <c r="C92" s="19" t="str">
        <f>IFERROR(
  INDEX(TblCadastro[SETOR],
    MATCH(TblApuracao[[#This Row],[COLABORADOR]],TblCadastro[NOME COMPLETO],0)
  ),
  "Não cadastrado"
)</f>
        <v>Não cadastrado</v>
      </c>
      <c r="D92" s="34"/>
      <c r="E9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2" s="18" t="str">
        <f>IFERROR(
  INDEX(TblCadastro[JORNADA ATUAL (h/dia)],
    MATCH(TblApuracao[[#This Row],[COLABORADOR]],TblCadastro[NOME COMPLETO],0)
  ),
  ""
)</f>
        <v/>
      </c>
      <c r="G92" s="18" t="str">
        <f>IFERROR(
  INDEX(TblCadastro[TRABALHA SÁB?],
    MATCH(TblApuracao[[#This Row],[COLABORADOR]],TblCadastro[NOME COMPLETO],0)
  ),
  ""
)</f>
        <v/>
      </c>
      <c r="H9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2" s="34"/>
      <c r="J92" s="34"/>
      <c r="K92" s="34"/>
      <c r="L92" s="21">
        <f>TblApuracao[[#This Row],[HRS EXTRAS (h:mm)]]-TblApuracao[[#This Row],[FALTAS/ATRASOS (h:mm)]]+TblApuracao[[#This Row],[AJUSTE MANUAL (h:mm)]]</f>
        <v>0</v>
      </c>
      <c r="M92" s="21">
        <f>SUMPRODUCT((TblApuracao[COLABORADOR]=TblApuracao[[#This Row],[COLABORADOR]])*(TblApuracao[COMPETÊNCIA]&lt;=TblApuracao[[#This Row],[COMPETÊNCIA]])*TblApuracao[HRS EXTRAS (h:mm)])</f>
        <v>0</v>
      </c>
      <c r="N92" s="21">
        <f>SUMPRODUCT((TblApuracao[COLABORADOR]=TblApuracao[[#This Row],[COLABORADOR]])*(TblApuracao[COMPETÊNCIA]&lt;=TblApuracao[[#This Row],[COMPETÊNCIA]])*TblApuracao[FALTAS/ATRASOS (h:mm)])</f>
        <v>0</v>
      </c>
      <c r="O92" s="21">
        <f>TblApuracao[[#This Row],[SALDO ANT. (h:mm)]]+TblApuracao[[#This Row],[SALDO MÊS (h:mm)]]</f>
        <v>0</v>
      </c>
      <c r="P92" s="24"/>
      <c r="Q92" s="24"/>
      <c r="R92" s="24"/>
      <c r="S92" s="24" t="str">
        <f>TblApuracao[[#This Row],[COLABORADOR]]&amp;TblApuracao[[#This Row],[COMPETÊNCIA]]</f>
        <v/>
      </c>
      <c r="T92" s="24">
        <f>ROW(TblApuracao[[#Headers],[COMPETÊNCIA]])</f>
        <v>2</v>
      </c>
      <c r="U92" s="24" t="str">
        <f>TblApuracao[[#This Row],[COLABORADOR]]&amp;TblApuracao[[#This Row],[COMPETÊNCIA]]</f>
        <v/>
      </c>
      <c r="V92" s="24" t="str">
        <f>INDEX(TblApuracao[COMPETÊNCIA],1)</f>
        <v>2026-03</v>
      </c>
      <c r="W92" s="25">
        <f>SUMPRODUCT((TblApuracao[COLABORADOR]="Emanuelly Ribeiro de Aguiar")*(TblApuracao[COMPETÊNCIA]&lt;="2025-09")*(TblApuracao[SALDO MÊS (h:mm)]&gt;0)*TblApuracao[SALDO MÊS (h:mm)])</f>
        <v>0.6875</v>
      </c>
    </row>
    <row r="93" spans="1:23" ht="15" customHeight="1" x14ac:dyDescent="0.25">
      <c r="A93" s="18">
        <f t="shared" si="1"/>
        <v>91</v>
      </c>
      <c r="B93" s="34"/>
      <c r="C93" s="19" t="str">
        <f>IFERROR(
  INDEX(TblCadastro[SETOR],
    MATCH(TblApuracao[[#This Row],[COLABORADOR]],TblCadastro[NOME COMPLETO],0)
  ),
  "Não cadastrado"
)</f>
        <v>Não cadastrado</v>
      </c>
      <c r="D93" s="34"/>
      <c r="E9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3" s="18" t="str">
        <f>IFERROR(
  INDEX(TblCadastro[JORNADA ATUAL (h/dia)],
    MATCH(TblApuracao[[#This Row],[COLABORADOR]],TblCadastro[NOME COMPLETO],0)
  ),
  ""
)</f>
        <v/>
      </c>
      <c r="G93" s="18" t="str">
        <f>IFERROR(
  INDEX(TblCadastro[TRABALHA SÁB?],
    MATCH(TblApuracao[[#This Row],[COLABORADOR]],TblCadastro[NOME COMPLETO],0)
  ),
  ""
)</f>
        <v/>
      </c>
      <c r="H9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3" s="34"/>
      <c r="J93" s="34"/>
      <c r="K93" s="34"/>
      <c r="L93" s="21">
        <f>TblApuracao[[#This Row],[HRS EXTRAS (h:mm)]]-TblApuracao[[#This Row],[FALTAS/ATRASOS (h:mm)]]+TblApuracao[[#This Row],[AJUSTE MANUAL (h:mm)]]</f>
        <v>0</v>
      </c>
      <c r="M93" s="21">
        <f>SUMPRODUCT((TblApuracao[COLABORADOR]=TblApuracao[[#This Row],[COLABORADOR]])*(TblApuracao[COMPETÊNCIA]&lt;=TblApuracao[[#This Row],[COMPETÊNCIA]])*TblApuracao[HRS EXTRAS (h:mm)])</f>
        <v>0</v>
      </c>
      <c r="N93" s="21">
        <f>SUMPRODUCT((TblApuracao[COLABORADOR]=TblApuracao[[#This Row],[COLABORADOR]])*(TblApuracao[COMPETÊNCIA]&lt;=TblApuracao[[#This Row],[COMPETÊNCIA]])*TblApuracao[FALTAS/ATRASOS (h:mm)])</f>
        <v>0</v>
      </c>
      <c r="O93" s="21">
        <f>TblApuracao[[#This Row],[SALDO ANT. (h:mm)]]+TblApuracao[[#This Row],[SALDO MÊS (h:mm)]]</f>
        <v>0</v>
      </c>
      <c r="P93" s="24"/>
      <c r="Q93" s="24"/>
      <c r="R93" s="24"/>
      <c r="S93" s="24" t="str">
        <f>TblApuracao[[#This Row],[COLABORADOR]]&amp;TblApuracao[[#This Row],[COMPETÊNCIA]]</f>
        <v/>
      </c>
      <c r="T93" s="24">
        <f>ROW(TblApuracao[[#Headers],[COMPETÊNCIA]])</f>
        <v>2</v>
      </c>
      <c r="U93" s="24" t="str">
        <f>TblApuracao[[#This Row],[COLABORADOR]]&amp;TblApuracao[[#This Row],[COMPETÊNCIA]]</f>
        <v/>
      </c>
      <c r="V93" s="24" t="str">
        <f>INDEX(TblApuracao[COMPETÊNCIA],1)</f>
        <v>2026-03</v>
      </c>
      <c r="W93" s="25">
        <f>SUMPRODUCT((TblApuracao[COLABORADOR]="Emanuelly Ribeiro de Aguiar")*(TblApuracao[COMPETÊNCIA]&lt;="2025-09")*(TblApuracao[SALDO MÊS (h:mm)]&gt;0)*TblApuracao[SALDO MÊS (h:mm)])</f>
        <v>0.6875</v>
      </c>
    </row>
    <row r="94" spans="1:23" ht="15" customHeight="1" x14ac:dyDescent="0.25">
      <c r="A94" s="18">
        <f t="shared" si="1"/>
        <v>92</v>
      </c>
      <c r="B94" s="34"/>
      <c r="C94" s="19" t="str">
        <f>IFERROR(
  INDEX(TblCadastro[SETOR],
    MATCH(TblApuracao[[#This Row],[COLABORADOR]],TblCadastro[NOME COMPLETO],0)
  ),
  "Não cadastrado"
)</f>
        <v>Não cadastrado</v>
      </c>
      <c r="D94" s="34"/>
      <c r="E9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4" s="18" t="str">
        <f>IFERROR(
  INDEX(TblCadastro[JORNADA ATUAL (h/dia)],
    MATCH(TblApuracao[[#This Row],[COLABORADOR]],TblCadastro[NOME COMPLETO],0)
  ),
  ""
)</f>
        <v/>
      </c>
      <c r="G94" s="18" t="str">
        <f>IFERROR(
  INDEX(TblCadastro[TRABALHA SÁB?],
    MATCH(TblApuracao[[#This Row],[COLABORADOR]],TblCadastro[NOME COMPLETO],0)
  ),
  ""
)</f>
        <v/>
      </c>
      <c r="H9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4" s="34"/>
      <c r="J94" s="34"/>
      <c r="K94" s="34"/>
      <c r="L94" s="21">
        <f>TblApuracao[[#This Row],[HRS EXTRAS (h:mm)]]-TblApuracao[[#This Row],[FALTAS/ATRASOS (h:mm)]]+TblApuracao[[#This Row],[AJUSTE MANUAL (h:mm)]]</f>
        <v>0</v>
      </c>
      <c r="M94" s="21">
        <f>SUMPRODUCT((TblApuracao[COLABORADOR]=TblApuracao[[#This Row],[COLABORADOR]])*(TblApuracao[COMPETÊNCIA]&lt;=TblApuracao[[#This Row],[COMPETÊNCIA]])*TblApuracao[HRS EXTRAS (h:mm)])</f>
        <v>0</v>
      </c>
      <c r="N94" s="21">
        <f>SUMPRODUCT((TblApuracao[COLABORADOR]=TblApuracao[[#This Row],[COLABORADOR]])*(TblApuracao[COMPETÊNCIA]&lt;=TblApuracao[[#This Row],[COMPETÊNCIA]])*TblApuracao[FALTAS/ATRASOS (h:mm)])</f>
        <v>0</v>
      </c>
      <c r="O94" s="21">
        <f>TblApuracao[[#This Row],[SALDO ANT. (h:mm)]]+TblApuracao[[#This Row],[SALDO MÊS (h:mm)]]</f>
        <v>0</v>
      </c>
      <c r="P94" s="24"/>
      <c r="Q94" s="24"/>
      <c r="R94" s="24"/>
      <c r="S94" s="24" t="str">
        <f>TblApuracao[[#This Row],[COLABORADOR]]&amp;TblApuracao[[#This Row],[COMPETÊNCIA]]</f>
        <v/>
      </c>
      <c r="T94" s="24">
        <f>ROW(TblApuracao[[#Headers],[COMPETÊNCIA]])</f>
        <v>2</v>
      </c>
      <c r="U94" s="24" t="str">
        <f>TblApuracao[[#This Row],[COLABORADOR]]&amp;TblApuracao[[#This Row],[COMPETÊNCIA]]</f>
        <v/>
      </c>
      <c r="V94" s="24" t="str">
        <f>INDEX(TblApuracao[COMPETÊNCIA],1)</f>
        <v>2026-03</v>
      </c>
      <c r="W94" s="25">
        <f>SUMPRODUCT((TblApuracao[COLABORADOR]="Emanuelly Ribeiro de Aguiar")*(TblApuracao[COMPETÊNCIA]&lt;="2025-09")*(TblApuracao[SALDO MÊS (h:mm)]&gt;0)*TblApuracao[SALDO MÊS (h:mm)])</f>
        <v>0.6875</v>
      </c>
    </row>
    <row r="95" spans="1:23" ht="15" customHeight="1" x14ac:dyDescent="0.25">
      <c r="A95" s="18">
        <f t="shared" si="1"/>
        <v>93</v>
      </c>
      <c r="B95" s="34"/>
      <c r="C95" s="19" t="str">
        <f>IFERROR(
  INDEX(TblCadastro[SETOR],
    MATCH(TblApuracao[[#This Row],[COLABORADOR]],TblCadastro[NOME COMPLETO],0)
  ),
  "Não cadastrado"
)</f>
        <v>Não cadastrado</v>
      </c>
      <c r="D95" s="34"/>
      <c r="E9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5" s="18" t="str">
        <f>IFERROR(
  INDEX(TblCadastro[JORNADA ATUAL (h/dia)],
    MATCH(TblApuracao[[#This Row],[COLABORADOR]],TblCadastro[NOME COMPLETO],0)
  ),
  ""
)</f>
        <v/>
      </c>
      <c r="G95" s="18" t="str">
        <f>IFERROR(
  INDEX(TblCadastro[TRABALHA SÁB?],
    MATCH(TblApuracao[[#This Row],[COLABORADOR]],TblCadastro[NOME COMPLETO],0)
  ),
  ""
)</f>
        <v/>
      </c>
      <c r="H9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5" s="34"/>
      <c r="J95" s="34"/>
      <c r="K95" s="34"/>
      <c r="L95" s="21">
        <f>TblApuracao[[#This Row],[HRS EXTRAS (h:mm)]]-TblApuracao[[#This Row],[FALTAS/ATRASOS (h:mm)]]+TblApuracao[[#This Row],[AJUSTE MANUAL (h:mm)]]</f>
        <v>0</v>
      </c>
      <c r="M95" s="21">
        <f>SUMPRODUCT((TblApuracao[COLABORADOR]=TblApuracao[[#This Row],[COLABORADOR]])*(TblApuracao[COMPETÊNCIA]&lt;=TblApuracao[[#This Row],[COMPETÊNCIA]])*TblApuracao[HRS EXTRAS (h:mm)])</f>
        <v>0</v>
      </c>
      <c r="N95" s="21">
        <f>SUMPRODUCT((TblApuracao[COLABORADOR]=TblApuracao[[#This Row],[COLABORADOR]])*(TblApuracao[COMPETÊNCIA]&lt;=TblApuracao[[#This Row],[COMPETÊNCIA]])*TblApuracao[FALTAS/ATRASOS (h:mm)])</f>
        <v>0</v>
      </c>
      <c r="O95" s="21">
        <f>TblApuracao[[#This Row],[SALDO ANT. (h:mm)]]+TblApuracao[[#This Row],[SALDO MÊS (h:mm)]]</f>
        <v>0</v>
      </c>
      <c r="P95" s="24"/>
      <c r="Q95" s="24"/>
      <c r="R95" s="24"/>
      <c r="S95" s="24" t="str">
        <f>TblApuracao[[#This Row],[COLABORADOR]]&amp;TblApuracao[[#This Row],[COMPETÊNCIA]]</f>
        <v/>
      </c>
      <c r="T95" s="24">
        <f>ROW(TblApuracao[[#Headers],[COMPETÊNCIA]])</f>
        <v>2</v>
      </c>
      <c r="U95" s="24" t="str">
        <f>TblApuracao[[#This Row],[COLABORADOR]]&amp;TblApuracao[[#This Row],[COMPETÊNCIA]]</f>
        <v/>
      </c>
      <c r="V95" s="24" t="str">
        <f>INDEX(TblApuracao[COMPETÊNCIA],1)</f>
        <v>2026-03</v>
      </c>
      <c r="W95" s="25">
        <f>SUMPRODUCT((TblApuracao[COLABORADOR]="Emanuelly Ribeiro de Aguiar")*(TblApuracao[COMPETÊNCIA]&lt;="2025-09")*(TblApuracao[SALDO MÊS (h:mm)]&gt;0)*TblApuracao[SALDO MÊS (h:mm)])</f>
        <v>0.6875</v>
      </c>
    </row>
    <row r="96" spans="1:23" ht="15" customHeight="1" x14ac:dyDescent="0.25">
      <c r="A96" s="18">
        <f t="shared" si="1"/>
        <v>94</v>
      </c>
      <c r="B96" s="34"/>
      <c r="C96" s="19" t="str">
        <f>IFERROR(
  INDEX(TblCadastro[SETOR],
    MATCH(TblApuracao[[#This Row],[COLABORADOR]],TblCadastro[NOME COMPLETO],0)
  ),
  "Não cadastrado"
)</f>
        <v>Não cadastrado</v>
      </c>
      <c r="D96" s="34"/>
      <c r="E9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6" s="18" t="str">
        <f>IFERROR(
  INDEX(TblCadastro[JORNADA ATUAL (h/dia)],
    MATCH(TblApuracao[[#This Row],[COLABORADOR]],TblCadastro[NOME COMPLETO],0)
  ),
  ""
)</f>
        <v/>
      </c>
      <c r="G96" s="18" t="str">
        <f>IFERROR(
  INDEX(TblCadastro[TRABALHA SÁB?],
    MATCH(TblApuracao[[#This Row],[COLABORADOR]],TblCadastro[NOME COMPLETO],0)
  ),
  ""
)</f>
        <v/>
      </c>
      <c r="H9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6" s="34"/>
      <c r="J96" s="34"/>
      <c r="K96" s="34"/>
      <c r="L96" s="21">
        <f>TblApuracao[[#This Row],[HRS EXTRAS (h:mm)]]-TblApuracao[[#This Row],[FALTAS/ATRASOS (h:mm)]]+TblApuracao[[#This Row],[AJUSTE MANUAL (h:mm)]]</f>
        <v>0</v>
      </c>
      <c r="M96" s="21">
        <f>SUMPRODUCT((TblApuracao[COLABORADOR]=TblApuracao[[#This Row],[COLABORADOR]])*(TblApuracao[COMPETÊNCIA]&lt;=TblApuracao[[#This Row],[COMPETÊNCIA]])*TblApuracao[HRS EXTRAS (h:mm)])</f>
        <v>0</v>
      </c>
      <c r="N96" s="21">
        <f>SUMPRODUCT((TblApuracao[COLABORADOR]=TblApuracao[[#This Row],[COLABORADOR]])*(TblApuracao[COMPETÊNCIA]&lt;=TblApuracao[[#This Row],[COMPETÊNCIA]])*TblApuracao[FALTAS/ATRASOS (h:mm)])</f>
        <v>0</v>
      </c>
      <c r="O96" s="21">
        <f>TblApuracao[[#This Row],[SALDO ANT. (h:mm)]]+TblApuracao[[#This Row],[SALDO MÊS (h:mm)]]</f>
        <v>0</v>
      </c>
      <c r="P96" s="24"/>
      <c r="Q96" s="24"/>
      <c r="R96" s="24"/>
      <c r="S96" s="24" t="str">
        <f>TblApuracao[[#This Row],[COLABORADOR]]&amp;TblApuracao[[#This Row],[COMPETÊNCIA]]</f>
        <v/>
      </c>
      <c r="T96" s="24">
        <f>ROW(TblApuracao[[#Headers],[COMPETÊNCIA]])</f>
        <v>2</v>
      </c>
      <c r="U96" s="24" t="str">
        <f>TblApuracao[[#This Row],[COLABORADOR]]&amp;TblApuracao[[#This Row],[COMPETÊNCIA]]</f>
        <v/>
      </c>
      <c r="V96" s="24" t="str">
        <f>INDEX(TblApuracao[COMPETÊNCIA],1)</f>
        <v>2026-03</v>
      </c>
      <c r="W96" s="25">
        <f>SUMPRODUCT((TblApuracao[COLABORADOR]="Emanuelly Ribeiro de Aguiar")*(TblApuracao[COMPETÊNCIA]&lt;="2025-09")*(TblApuracao[SALDO MÊS (h:mm)]&gt;0)*TblApuracao[SALDO MÊS (h:mm)])</f>
        <v>0.6875</v>
      </c>
    </row>
    <row r="97" spans="1:23" ht="15" customHeight="1" x14ac:dyDescent="0.25">
      <c r="A97" s="18">
        <f t="shared" si="1"/>
        <v>95</v>
      </c>
      <c r="B97" s="34"/>
      <c r="C97" s="19" t="str">
        <f>IFERROR(
  INDEX(TblCadastro[SETOR],
    MATCH(TblApuracao[[#This Row],[COLABORADOR]],TblCadastro[NOME COMPLETO],0)
  ),
  "Não cadastrado"
)</f>
        <v>Não cadastrado</v>
      </c>
      <c r="D97" s="34"/>
      <c r="E9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7" s="18" t="str">
        <f>IFERROR(
  INDEX(TblCadastro[JORNADA ATUAL (h/dia)],
    MATCH(TblApuracao[[#This Row],[COLABORADOR]],TblCadastro[NOME COMPLETO],0)
  ),
  ""
)</f>
        <v/>
      </c>
      <c r="G97" s="18" t="str">
        <f>IFERROR(
  INDEX(TblCadastro[TRABALHA SÁB?],
    MATCH(TblApuracao[[#This Row],[COLABORADOR]],TblCadastro[NOME COMPLETO],0)
  ),
  ""
)</f>
        <v/>
      </c>
      <c r="H9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7" s="34"/>
      <c r="J97" s="34"/>
      <c r="K97" s="34"/>
      <c r="L97" s="21">
        <f>TblApuracao[[#This Row],[HRS EXTRAS (h:mm)]]-TblApuracao[[#This Row],[FALTAS/ATRASOS (h:mm)]]+TblApuracao[[#This Row],[AJUSTE MANUAL (h:mm)]]</f>
        <v>0</v>
      </c>
      <c r="M97" s="21">
        <f>SUMPRODUCT((TblApuracao[COLABORADOR]=TblApuracao[[#This Row],[COLABORADOR]])*(TblApuracao[COMPETÊNCIA]&lt;=TblApuracao[[#This Row],[COMPETÊNCIA]])*TblApuracao[HRS EXTRAS (h:mm)])</f>
        <v>0</v>
      </c>
      <c r="N97" s="21">
        <f>SUMPRODUCT((TblApuracao[COLABORADOR]=TblApuracao[[#This Row],[COLABORADOR]])*(TblApuracao[COMPETÊNCIA]&lt;=TblApuracao[[#This Row],[COMPETÊNCIA]])*TblApuracao[FALTAS/ATRASOS (h:mm)])</f>
        <v>0</v>
      </c>
      <c r="O97" s="21">
        <f>TblApuracao[[#This Row],[SALDO ANT. (h:mm)]]+TblApuracao[[#This Row],[SALDO MÊS (h:mm)]]</f>
        <v>0</v>
      </c>
      <c r="P97" s="24"/>
      <c r="Q97" s="24"/>
      <c r="R97" s="24"/>
      <c r="S97" s="24" t="str">
        <f>TblApuracao[[#This Row],[COLABORADOR]]&amp;TblApuracao[[#This Row],[COMPETÊNCIA]]</f>
        <v/>
      </c>
      <c r="T97" s="24">
        <f>ROW(TblApuracao[[#Headers],[COMPETÊNCIA]])</f>
        <v>2</v>
      </c>
      <c r="U97" s="24" t="str">
        <f>TblApuracao[[#This Row],[COLABORADOR]]&amp;TblApuracao[[#This Row],[COMPETÊNCIA]]</f>
        <v/>
      </c>
      <c r="V97" s="24" t="str">
        <f>INDEX(TblApuracao[COMPETÊNCIA],1)</f>
        <v>2026-03</v>
      </c>
      <c r="W97" s="25">
        <f>SUMPRODUCT((TblApuracao[COLABORADOR]="Emanuelly Ribeiro de Aguiar")*(TblApuracao[COMPETÊNCIA]&lt;="2025-09")*(TblApuracao[SALDO MÊS (h:mm)]&gt;0)*TblApuracao[SALDO MÊS (h:mm)])</f>
        <v>0.6875</v>
      </c>
    </row>
    <row r="98" spans="1:23" ht="15" customHeight="1" x14ac:dyDescent="0.25">
      <c r="A98" s="18">
        <f t="shared" si="1"/>
        <v>96</v>
      </c>
      <c r="B98" s="34"/>
      <c r="C98" s="19" t="str">
        <f>IFERROR(
  INDEX(TblCadastro[SETOR],
    MATCH(TblApuracao[[#This Row],[COLABORADOR]],TblCadastro[NOME COMPLETO],0)
  ),
  "Não cadastrado"
)</f>
        <v>Não cadastrado</v>
      </c>
      <c r="D98" s="34"/>
      <c r="E9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8" s="18" t="str">
        <f>IFERROR(
  INDEX(TblCadastro[JORNADA ATUAL (h/dia)],
    MATCH(TblApuracao[[#This Row],[COLABORADOR]],TblCadastro[NOME COMPLETO],0)
  ),
  ""
)</f>
        <v/>
      </c>
      <c r="G98" s="18" t="str">
        <f>IFERROR(
  INDEX(TblCadastro[TRABALHA SÁB?],
    MATCH(TblApuracao[[#This Row],[COLABORADOR]],TblCadastro[NOME COMPLETO],0)
  ),
  ""
)</f>
        <v/>
      </c>
      <c r="H9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8" s="34"/>
      <c r="J98" s="34"/>
      <c r="K98" s="34"/>
      <c r="L98" s="21">
        <f>TblApuracao[[#This Row],[HRS EXTRAS (h:mm)]]-TblApuracao[[#This Row],[FALTAS/ATRASOS (h:mm)]]+TblApuracao[[#This Row],[AJUSTE MANUAL (h:mm)]]</f>
        <v>0</v>
      </c>
      <c r="M98" s="21">
        <f>SUMPRODUCT((TblApuracao[COLABORADOR]=TblApuracao[[#This Row],[COLABORADOR]])*(TblApuracao[COMPETÊNCIA]&lt;=TblApuracao[[#This Row],[COMPETÊNCIA]])*TblApuracao[HRS EXTRAS (h:mm)])</f>
        <v>0</v>
      </c>
      <c r="N98" s="21">
        <f>SUMPRODUCT((TblApuracao[COLABORADOR]=TblApuracao[[#This Row],[COLABORADOR]])*(TblApuracao[COMPETÊNCIA]&lt;=TblApuracao[[#This Row],[COMPETÊNCIA]])*TblApuracao[FALTAS/ATRASOS (h:mm)])</f>
        <v>0</v>
      </c>
      <c r="O98" s="21">
        <f>TblApuracao[[#This Row],[SALDO ANT. (h:mm)]]+TblApuracao[[#This Row],[SALDO MÊS (h:mm)]]</f>
        <v>0</v>
      </c>
      <c r="P98" s="24"/>
      <c r="Q98" s="24"/>
      <c r="R98" s="24"/>
      <c r="S98" s="24" t="str">
        <f>TblApuracao[[#This Row],[COLABORADOR]]&amp;TblApuracao[[#This Row],[COMPETÊNCIA]]</f>
        <v/>
      </c>
      <c r="T98" s="24">
        <f>ROW(TblApuracao[[#Headers],[COMPETÊNCIA]])</f>
        <v>2</v>
      </c>
      <c r="U98" s="24" t="str">
        <f>TblApuracao[[#This Row],[COLABORADOR]]&amp;TblApuracao[[#This Row],[COMPETÊNCIA]]</f>
        <v/>
      </c>
      <c r="V98" s="24" t="str">
        <f>INDEX(TblApuracao[COMPETÊNCIA],1)</f>
        <v>2026-03</v>
      </c>
      <c r="W98" s="25">
        <f>SUMPRODUCT((TblApuracao[COLABORADOR]="Emanuelly Ribeiro de Aguiar")*(TblApuracao[COMPETÊNCIA]&lt;="2025-09")*(TblApuracao[SALDO MÊS (h:mm)]&gt;0)*TblApuracao[SALDO MÊS (h:mm)])</f>
        <v>0.6875</v>
      </c>
    </row>
    <row r="99" spans="1:23" ht="15" customHeight="1" x14ac:dyDescent="0.25">
      <c r="A99" s="18">
        <f t="shared" si="1"/>
        <v>97</v>
      </c>
      <c r="B99" s="34"/>
      <c r="C99" s="19" t="str">
        <f>IFERROR(
  INDEX(TblCadastro[SETOR],
    MATCH(TblApuracao[[#This Row],[COLABORADOR]],TblCadastro[NOME COMPLETO],0)
  ),
  "Não cadastrado"
)</f>
        <v>Não cadastrado</v>
      </c>
      <c r="D99" s="34"/>
      <c r="E9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9" s="18" t="str">
        <f>IFERROR(
  INDEX(TblCadastro[JORNADA ATUAL (h/dia)],
    MATCH(TblApuracao[[#This Row],[COLABORADOR]],TblCadastro[NOME COMPLETO],0)
  ),
  ""
)</f>
        <v/>
      </c>
      <c r="G99" s="18" t="str">
        <f>IFERROR(
  INDEX(TblCadastro[TRABALHA SÁB?],
    MATCH(TblApuracao[[#This Row],[COLABORADOR]],TblCadastro[NOME COMPLETO],0)
  ),
  ""
)</f>
        <v/>
      </c>
      <c r="H9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9" s="34"/>
      <c r="J99" s="34"/>
      <c r="K99" s="34"/>
      <c r="L99" s="21">
        <f>TblApuracao[[#This Row],[HRS EXTRAS (h:mm)]]-TblApuracao[[#This Row],[FALTAS/ATRASOS (h:mm)]]+TblApuracao[[#This Row],[AJUSTE MANUAL (h:mm)]]</f>
        <v>0</v>
      </c>
      <c r="M99" s="21">
        <f>SUMPRODUCT((TblApuracao[COLABORADOR]=TblApuracao[[#This Row],[COLABORADOR]])*(TblApuracao[COMPETÊNCIA]&lt;=TblApuracao[[#This Row],[COMPETÊNCIA]])*TblApuracao[HRS EXTRAS (h:mm)])</f>
        <v>0</v>
      </c>
      <c r="N99" s="21">
        <f>SUMPRODUCT((TblApuracao[COLABORADOR]=TblApuracao[[#This Row],[COLABORADOR]])*(TblApuracao[COMPETÊNCIA]&lt;=TblApuracao[[#This Row],[COMPETÊNCIA]])*TblApuracao[FALTAS/ATRASOS (h:mm)])</f>
        <v>0</v>
      </c>
      <c r="O99" s="21">
        <f>TblApuracao[[#This Row],[SALDO ANT. (h:mm)]]+TblApuracao[[#This Row],[SALDO MÊS (h:mm)]]</f>
        <v>0</v>
      </c>
      <c r="P99" s="24"/>
      <c r="Q99" s="24"/>
      <c r="R99" s="24"/>
      <c r="S99" s="24" t="str">
        <f>TblApuracao[[#This Row],[COLABORADOR]]&amp;TblApuracao[[#This Row],[COMPETÊNCIA]]</f>
        <v/>
      </c>
      <c r="T99" s="24">
        <f>ROW(TblApuracao[[#Headers],[COMPETÊNCIA]])</f>
        <v>2</v>
      </c>
      <c r="U99" s="24" t="str">
        <f>TblApuracao[[#This Row],[COLABORADOR]]&amp;TblApuracao[[#This Row],[COMPETÊNCIA]]</f>
        <v/>
      </c>
      <c r="V99" s="24" t="str">
        <f>INDEX(TblApuracao[COMPETÊNCIA],1)</f>
        <v>2026-03</v>
      </c>
      <c r="W99" s="25">
        <f>SUMPRODUCT((TblApuracao[COLABORADOR]="Emanuelly Ribeiro de Aguiar")*(TblApuracao[COMPETÊNCIA]&lt;="2025-09")*(TblApuracao[SALDO MÊS (h:mm)]&gt;0)*TblApuracao[SALDO MÊS (h:mm)])</f>
        <v>0.6875</v>
      </c>
    </row>
    <row r="100" spans="1:23" ht="15" customHeight="1" x14ac:dyDescent="0.25">
      <c r="A100" s="18">
        <f t="shared" si="1"/>
        <v>98</v>
      </c>
      <c r="B100" s="34"/>
      <c r="C100" s="19" t="str">
        <f>IFERROR(
  INDEX(TblCadastro[SETOR],
    MATCH(TblApuracao[[#This Row],[COLABORADOR]],TblCadastro[NOME COMPLETO],0)
  ),
  "Não cadastrado"
)</f>
        <v>Não cadastrado</v>
      </c>
      <c r="D100" s="34"/>
      <c r="E10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0" s="18" t="str">
        <f>IFERROR(
  INDEX(TblCadastro[JORNADA ATUAL (h/dia)],
    MATCH(TblApuracao[[#This Row],[COLABORADOR]],TblCadastro[NOME COMPLETO],0)
  ),
  ""
)</f>
        <v/>
      </c>
      <c r="G100" s="18" t="str">
        <f>IFERROR(
  INDEX(TblCadastro[TRABALHA SÁB?],
    MATCH(TblApuracao[[#This Row],[COLABORADOR]],TblCadastro[NOME COMPLETO],0)
  ),
  ""
)</f>
        <v/>
      </c>
      <c r="H10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0" s="34"/>
      <c r="J100" s="34"/>
      <c r="K100" s="34"/>
      <c r="L100" s="21">
        <f>TblApuracao[[#This Row],[HRS EXTRAS (h:mm)]]-TblApuracao[[#This Row],[FALTAS/ATRASOS (h:mm)]]+TblApuracao[[#This Row],[AJUSTE MANUAL (h:mm)]]</f>
        <v>0</v>
      </c>
      <c r="M100" s="21">
        <f>SUMPRODUCT((TblApuracao[COLABORADOR]=TblApuracao[[#This Row],[COLABORADOR]])*(TblApuracao[COMPETÊNCIA]&lt;=TblApuracao[[#This Row],[COMPETÊNCIA]])*TblApuracao[HRS EXTRAS (h:mm)])</f>
        <v>0</v>
      </c>
      <c r="N100" s="21">
        <f>SUMPRODUCT((TblApuracao[COLABORADOR]=TblApuracao[[#This Row],[COLABORADOR]])*(TblApuracao[COMPETÊNCIA]&lt;=TblApuracao[[#This Row],[COMPETÊNCIA]])*TblApuracao[FALTAS/ATRASOS (h:mm)])</f>
        <v>0</v>
      </c>
      <c r="O100" s="21">
        <f>TblApuracao[[#This Row],[SALDO ANT. (h:mm)]]+TblApuracao[[#This Row],[SALDO MÊS (h:mm)]]</f>
        <v>0</v>
      </c>
      <c r="P100" s="24"/>
      <c r="Q100" s="24"/>
      <c r="R100" s="24"/>
      <c r="S100" s="24" t="str">
        <f>TblApuracao[[#This Row],[COLABORADOR]]&amp;TblApuracao[[#This Row],[COMPETÊNCIA]]</f>
        <v/>
      </c>
      <c r="T100" s="24">
        <f>ROW(TblApuracao[[#Headers],[COMPETÊNCIA]])</f>
        <v>2</v>
      </c>
      <c r="U100" s="24" t="str">
        <f>TblApuracao[[#This Row],[COLABORADOR]]&amp;TblApuracao[[#This Row],[COMPETÊNCIA]]</f>
        <v/>
      </c>
      <c r="V100" s="24" t="str">
        <f>INDEX(TblApuracao[COMPETÊNCIA],1)</f>
        <v>2026-03</v>
      </c>
      <c r="W100" s="25">
        <f>SUMPRODUCT((TblApuracao[COLABORADOR]="Emanuelly Ribeiro de Aguiar")*(TblApuracao[COMPETÊNCIA]&lt;="2025-09")*(TblApuracao[SALDO MÊS (h:mm)]&gt;0)*TblApuracao[SALDO MÊS (h:mm)])</f>
        <v>0.6875</v>
      </c>
    </row>
    <row r="101" spans="1:23" ht="15" customHeight="1" x14ac:dyDescent="0.25">
      <c r="A101" s="18">
        <f t="shared" si="1"/>
        <v>99</v>
      </c>
      <c r="B101" s="34"/>
      <c r="C101" s="19" t="str">
        <f>IFERROR(
  INDEX(TblCadastro[SETOR],
    MATCH(TblApuracao[[#This Row],[COLABORADOR]],TblCadastro[NOME COMPLETO],0)
  ),
  "Não cadastrado"
)</f>
        <v>Não cadastrado</v>
      </c>
      <c r="D101" s="34"/>
      <c r="E10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1" s="18" t="str">
        <f>IFERROR(
  INDEX(TblCadastro[JORNADA ATUAL (h/dia)],
    MATCH(TblApuracao[[#This Row],[COLABORADOR]],TblCadastro[NOME COMPLETO],0)
  ),
  ""
)</f>
        <v/>
      </c>
      <c r="G101" s="18" t="str">
        <f>IFERROR(
  INDEX(TblCadastro[TRABALHA SÁB?],
    MATCH(TblApuracao[[#This Row],[COLABORADOR]],TblCadastro[NOME COMPLETO],0)
  ),
  ""
)</f>
        <v/>
      </c>
      <c r="H10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1" s="34"/>
      <c r="J101" s="34"/>
      <c r="K101" s="34"/>
      <c r="L101" s="21">
        <f>TblApuracao[[#This Row],[HRS EXTRAS (h:mm)]]-TblApuracao[[#This Row],[FALTAS/ATRASOS (h:mm)]]+TblApuracao[[#This Row],[AJUSTE MANUAL (h:mm)]]</f>
        <v>0</v>
      </c>
      <c r="M101" s="21">
        <f>SUMPRODUCT((TblApuracao[COLABORADOR]=TblApuracao[[#This Row],[COLABORADOR]])*(TblApuracao[COMPETÊNCIA]&lt;=TblApuracao[[#This Row],[COMPETÊNCIA]])*TblApuracao[HRS EXTRAS (h:mm)])</f>
        <v>0</v>
      </c>
      <c r="N101" s="21">
        <f>SUMPRODUCT((TblApuracao[COLABORADOR]=TblApuracao[[#This Row],[COLABORADOR]])*(TblApuracao[COMPETÊNCIA]&lt;=TblApuracao[[#This Row],[COMPETÊNCIA]])*TblApuracao[FALTAS/ATRASOS (h:mm)])</f>
        <v>0</v>
      </c>
      <c r="O101" s="21">
        <f>TblApuracao[[#This Row],[SALDO ANT. (h:mm)]]+TblApuracao[[#This Row],[SALDO MÊS (h:mm)]]</f>
        <v>0</v>
      </c>
      <c r="P101" s="24"/>
      <c r="Q101" s="24"/>
      <c r="R101" s="24"/>
      <c r="S101" s="24" t="str">
        <f>TblApuracao[[#This Row],[COLABORADOR]]&amp;TblApuracao[[#This Row],[COMPETÊNCIA]]</f>
        <v/>
      </c>
      <c r="T101" s="24">
        <f>ROW(TblApuracao[[#Headers],[COMPETÊNCIA]])</f>
        <v>2</v>
      </c>
      <c r="U101" s="24" t="str">
        <f>TblApuracao[[#This Row],[COLABORADOR]]&amp;TblApuracao[[#This Row],[COMPETÊNCIA]]</f>
        <v/>
      </c>
      <c r="V101" s="24" t="str">
        <f>INDEX(TblApuracao[COMPETÊNCIA],1)</f>
        <v>2026-03</v>
      </c>
      <c r="W101" s="25">
        <f>SUMPRODUCT((TblApuracao[COLABORADOR]="Emanuelly Ribeiro de Aguiar")*(TblApuracao[COMPETÊNCIA]&lt;="2025-09")*(TblApuracao[SALDO MÊS (h:mm)]&gt;0)*TblApuracao[SALDO MÊS (h:mm)])</f>
        <v>0.6875</v>
      </c>
    </row>
    <row r="102" spans="1:23" ht="15" customHeight="1" x14ac:dyDescent="0.25">
      <c r="A102" s="18">
        <f t="shared" si="1"/>
        <v>100</v>
      </c>
      <c r="B102" s="34"/>
      <c r="C102" s="19" t="str">
        <f>IFERROR(
  INDEX(TblCadastro[SETOR],
    MATCH(TblApuracao[[#This Row],[COLABORADOR]],TblCadastro[NOME COMPLETO],0)
  ),
  "Não cadastrado"
)</f>
        <v>Não cadastrado</v>
      </c>
      <c r="D102" s="34"/>
      <c r="E10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2" s="18" t="str">
        <f>IFERROR(
  INDEX(TblCadastro[JORNADA ATUAL (h/dia)],
    MATCH(TblApuracao[[#This Row],[COLABORADOR]],TblCadastro[NOME COMPLETO],0)
  ),
  ""
)</f>
        <v/>
      </c>
      <c r="G102" s="18" t="str">
        <f>IFERROR(
  INDEX(TblCadastro[TRABALHA SÁB?],
    MATCH(TblApuracao[[#This Row],[COLABORADOR]],TblCadastro[NOME COMPLETO],0)
  ),
  ""
)</f>
        <v/>
      </c>
      <c r="H10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2" s="34"/>
      <c r="J102" s="34"/>
      <c r="K102" s="34"/>
      <c r="L102" s="21">
        <f>TblApuracao[[#This Row],[HRS EXTRAS (h:mm)]]-TblApuracao[[#This Row],[FALTAS/ATRASOS (h:mm)]]+TblApuracao[[#This Row],[AJUSTE MANUAL (h:mm)]]</f>
        <v>0</v>
      </c>
      <c r="M102" s="21">
        <f>SUMPRODUCT((TblApuracao[COLABORADOR]=TblApuracao[[#This Row],[COLABORADOR]])*(TblApuracao[COMPETÊNCIA]&lt;=TblApuracao[[#This Row],[COMPETÊNCIA]])*TblApuracao[HRS EXTRAS (h:mm)])</f>
        <v>0</v>
      </c>
      <c r="N102" s="21">
        <f>SUMPRODUCT((TblApuracao[COLABORADOR]=TblApuracao[[#This Row],[COLABORADOR]])*(TblApuracao[COMPETÊNCIA]&lt;=TblApuracao[[#This Row],[COMPETÊNCIA]])*TblApuracao[FALTAS/ATRASOS (h:mm)])</f>
        <v>0</v>
      </c>
      <c r="O102" s="21">
        <f>TblApuracao[[#This Row],[SALDO ANT. (h:mm)]]+TblApuracao[[#This Row],[SALDO MÊS (h:mm)]]</f>
        <v>0</v>
      </c>
      <c r="P102" s="24"/>
      <c r="Q102" s="24"/>
      <c r="R102" s="24"/>
      <c r="S102" s="24" t="str">
        <f>TblApuracao[[#This Row],[COLABORADOR]]&amp;TblApuracao[[#This Row],[COMPETÊNCIA]]</f>
        <v/>
      </c>
      <c r="T102" s="24">
        <f>ROW(TblApuracao[[#Headers],[COMPETÊNCIA]])</f>
        <v>2</v>
      </c>
      <c r="U102" s="24" t="str">
        <f>TblApuracao[[#This Row],[COLABORADOR]]&amp;TblApuracao[[#This Row],[COMPETÊNCIA]]</f>
        <v/>
      </c>
      <c r="V102" s="24" t="str">
        <f>INDEX(TblApuracao[COMPETÊNCIA],1)</f>
        <v>2026-03</v>
      </c>
      <c r="W102" s="25">
        <f>SUMPRODUCT((TblApuracao[COLABORADOR]="Emanuelly Ribeiro de Aguiar")*(TblApuracao[COMPETÊNCIA]&lt;="2025-09")*(TblApuracao[SALDO MÊS (h:mm)]&gt;0)*TblApuracao[SALDO MÊS (h:mm)])</f>
        <v>0.6875</v>
      </c>
    </row>
    <row r="103" spans="1:23" ht="15" customHeight="1" x14ac:dyDescent="0.25">
      <c r="A103" s="18">
        <f t="shared" si="1"/>
        <v>101</v>
      </c>
      <c r="B103" s="34"/>
      <c r="C103" s="19" t="str">
        <f>IFERROR(
  INDEX(TblCadastro[SETOR],
    MATCH(TblApuracao[[#This Row],[COLABORADOR]],TblCadastro[NOME COMPLETO],0)
  ),
  "Não cadastrado"
)</f>
        <v>Não cadastrado</v>
      </c>
      <c r="D103" s="34"/>
      <c r="E10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3" s="18" t="str">
        <f>IFERROR(
  INDEX(TblCadastro[JORNADA ATUAL (h/dia)],
    MATCH(TblApuracao[[#This Row],[COLABORADOR]],TblCadastro[NOME COMPLETO],0)
  ),
  ""
)</f>
        <v/>
      </c>
      <c r="G103" s="18" t="str">
        <f>IFERROR(
  INDEX(TblCadastro[TRABALHA SÁB?],
    MATCH(TblApuracao[[#This Row],[COLABORADOR]],TblCadastro[NOME COMPLETO],0)
  ),
  ""
)</f>
        <v/>
      </c>
      <c r="H10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3" s="34"/>
      <c r="J103" s="34"/>
      <c r="K103" s="34"/>
      <c r="L103" s="21">
        <f>TblApuracao[[#This Row],[HRS EXTRAS (h:mm)]]-TblApuracao[[#This Row],[FALTAS/ATRASOS (h:mm)]]+TblApuracao[[#This Row],[AJUSTE MANUAL (h:mm)]]</f>
        <v>0</v>
      </c>
      <c r="M103" s="21">
        <f>SUMPRODUCT((TblApuracao[COLABORADOR]=TblApuracao[[#This Row],[COLABORADOR]])*(TblApuracao[COMPETÊNCIA]&lt;=TblApuracao[[#This Row],[COMPETÊNCIA]])*TblApuracao[HRS EXTRAS (h:mm)])</f>
        <v>0</v>
      </c>
      <c r="N103" s="21">
        <f>SUMPRODUCT((TblApuracao[COLABORADOR]=TblApuracao[[#This Row],[COLABORADOR]])*(TblApuracao[COMPETÊNCIA]&lt;=TblApuracao[[#This Row],[COMPETÊNCIA]])*TblApuracao[FALTAS/ATRASOS (h:mm)])</f>
        <v>0</v>
      </c>
      <c r="O103" s="21">
        <f>TblApuracao[[#This Row],[SALDO ANT. (h:mm)]]+TblApuracao[[#This Row],[SALDO MÊS (h:mm)]]</f>
        <v>0</v>
      </c>
      <c r="P103" s="24"/>
      <c r="Q103" s="24"/>
      <c r="R103" s="24"/>
      <c r="S103" s="24" t="str">
        <f>TblApuracao[[#This Row],[COLABORADOR]]&amp;TblApuracao[[#This Row],[COMPETÊNCIA]]</f>
        <v/>
      </c>
      <c r="T103" s="24">
        <f>ROW(TblApuracao[[#Headers],[COMPETÊNCIA]])</f>
        <v>2</v>
      </c>
      <c r="U103" s="24" t="str">
        <f>TblApuracao[[#This Row],[COLABORADOR]]&amp;TblApuracao[[#This Row],[COMPETÊNCIA]]</f>
        <v/>
      </c>
      <c r="V103" s="24" t="str">
        <f>INDEX(TblApuracao[COMPETÊNCIA],1)</f>
        <v>2026-03</v>
      </c>
      <c r="W103" s="25">
        <f>SUMPRODUCT((TblApuracao[COLABORADOR]="Emanuelly Ribeiro de Aguiar")*(TblApuracao[COMPETÊNCIA]&lt;="2025-09")*(TblApuracao[SALDO MÊS (h:mm)]&gt;0)*TblApuracao[SALDO MÊS (h:mm)])</f>
        <v>0.6875</v>
      </c>
    </row>
    <row r="104" spans="1:23" ht="15" customHeight="1" x14ac:dyDescent="0.25">
      <c r="A104" s="18">
        <f t="shared" si="1"/>
        <v>102</v>
      </c>
      <c r="B104" s="34"/>
      <c r="C104" s="19" t="str">
        <f>IFERROR(
  INDEX(TblCadastro[SETOR],
    MATCH(TblApuracao[[#This Row],[COLABORADOR]],TblCadastro[NOME COMPLETO],0)
  ),
  "Não cadastrado"
)</f>
        <v>Não cadastrado</v>
      </c>
      <c r="D104" s="34"/>
      <c r="E10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4" s="18" t="str">
        <f>IFERROR(
  INDEX(TblCadastro[JORNADA ATUAL (h/dia)],
    MATCH(TblApuracao[[#This Row],[COLABORADOR]],TblCadastro[NOME COMPLETO],0)
  ),
  ""
)</f>
        <v/>
      </c>
      <c r="G104" s="18" t="str">
        <f>IFERROR(
  INDEX(TblCadastro[TRABALHA SÁB?],
    MATCH(TblApuracao[[#This Row],[COLABORADOR]],TblCadastro[NOME COMPLETO],0)
  ),
  ""
)</f>
        <v/>
      </c>
      <c r="H10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4" s="34"/>
      <c r="J104" s="34"/>
      <c r="K104" s="34"/>
      <c r="L104" s="21">
        <f>TblApuracao[[#This Row],[HRS EXTRAS (h:mm)]]-TblApuracao[[#This Row],[FALTAS/ATRASOS (h:mm)]]+TblApuracao[[#This Row],[AJUSTE MANUAL (h:mm)]]</f>
        <v>0</v>
      </c>
      <c r="M104" s="21">
        <f>SUMPRODUCT((TblApuracao[COLABORADOR]=TblApuracao[[#This Row],[COLABORADOR]])*(TblApuracao[COMPETÊNCIA]&lt;=TblApuracao[[#This Row],[COMPETÊNCIA]])*TblApuracao[HRS EXTRAS (h:mm)])</f>
        <v>0</v>
      </c>
      <c r="N104" s="21">
        <f>SUMPRODUCT((TblApuracao[COLABORADOR]=TblApuracao[[#This Row],[COLABORADOR]])*(TblApuracao[COMPETÊNCIA]&lt;=TblApuracao[[#This Row],[COMPETÊNCIA]])*TblApuracao[FALTAS/ATRASOS (h:mm)])</f>
        <v>0</v>
      </c>
      <c r="O104" s="21">
        <f>TblApuracao[[#This Row],[SALDO ANT. (h:mm)]]+TblApuracao[[#This Row],[SALDO MÊS (h:mm)]]</f>
        <v>0</v>
      </c>
      <c r="P104" s="24"/>
      <c r="Q104" s="24"/>
      <c r="R104" s="24"/>
      <c r="S104" s="24" t="str">
        <f>TblApuracao[[#This Row],[COLABORADOR]]&amp;TblApuracao[[#This Row],[COMPETÊNCIA]]</f>
        <v/>
      </c>
      <c r="T104" s="24">
        <f>ROW(TblApuracao[[#Headers],[COMPETÊNCIA]])</f>
        <v>2</v>
      </c>
      <c r="U104" s="24" t="str">
        <f>TblApuracao[[#This Row],[COLABORADOR]]&amp;TblApuracao[[#This Row],[COMPETÊNCIA]]</f>
        <v/>
      </c>
      <c r="V104" s="24" t="str">
        <f>INDEX(TblApuracao[COMPETÊNCIA],1)</f>
        <v>2026-03</v>
      </c>
      <c r="W104" s="25">
        <f>SUMPRODUCT((TblApuracao[COLABORADOR]="Emanuelly Ribeiro de Aguiar")*(TblApuracao[COMPETÊNCIA]&lt;="2025-09")*(TblApuracao[SALDO MÊS (h:mm)]&gt;0)*TblApuracao[SALDO MÊS (h:mm)])</f>
        <v>0.6875</v>
      </c>
    </row>
    <row r="105" spans="1:23" ht="15" customHeight="1" x14ac:dyDescent="0.25">
      <c r="A105" s="18">
        <f t="shared" si="1"/>
        <v>103</v>
      </c>
      <c r="B105" s="34"/>
      <c r="C105" s="19" t="str">
        <f>IFERROR(
  INDEX(TblCadastro[SETOR],
    MATCH(TblApuracao[[#This Row],[COLABORADOR]],TblCadastro[NOME COMPLETO],0)
  ),
  "Não cadastrado"
)</f>
        <v>Não cadastrado</v>
      </c>
      <c r="D105" s="34"/>
      <c r="E10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5" s="18" t="str">
        <f>IFERROR(
  INDEX(TblCadastro[JORNADA ATUAL (h/dia)],
    MATCH(TblApuracao[[#This Row],[COLABORADOR]],TblCadastro[NOME COMPLETO],0)
  ),
  ""
)</f>
        <v/>
      </c>
      <c r="G105" s="18" t="str">
        <f>IFERROR(
  INDEX(TblCadastro[TRABALHA SÁB?],
    MATCH(TblApuracao[[#This Row],[COLABORADOR]],TblCadastro[NOME COMPLETO],0)
  ),
  ""
)</f>
        <v/>
      </c>
      <c r="H10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5" s="34"/>
      <c r="J105" s="34"/>
      <c r="K105" s="34"/>
      <c r="L105" s="21">
        <f>TblApuracao[[#This Row],[HRS EXTRAS (h:mm)]]-TblApuracao[[#This Row],[FALTAS/ATRASOS (h:mm)]]+TblApuracao[[#This Row],[AJUSTE MANUAL (h:mm)]]</f>
        <v>0</v>
      </c>
      <c r="M105" s="21">
        <f>SUMPRODUCT((TblApuracao[COLABORADOR]=TblApuracao[[#This Row],[COLABORADOR]])*(TblApuracao[COMPETÊNCIA]&lt;=TblApuracao[[#This Row],[COMPETÊNCIA]])*TblApuracao[HRS EXTRAS (h:mm)])</f>
        <v>0</v>
      </c>
      <c r="N105" s="21">
        <f>SUMPRODUCT((TblApuracao[COLABORADOR]=TblApuracao[[#This Row],[COLABORADOR]])*(TblApuracao[COMPETÊNCIA]&lt;=TblApuracao[[#This Row],[COMPETÊNCIA]])*TblApuracao[FALTAS/ATRASOS (h:mm)])</f>
        <v>0</v>
      </c>
      <c r="O105" s="21">
        <f>TblApuracao[[#This Row],[SALDO ANT. (h:mm)]]+TblApuracao[[#This Row],[SALDO MÊS (h:mm)]]</f>
        <v>0</v>
      </c>
      <c r="P105" s="24"/>
      <c r="Q105" s="24"/>
      <c r="R105" s="24"/>
      <c r="S105" s="24" t="str">
        <f>TblApuracao[[#This Row],[COLABORADOR]]&amp;TblApuracao[[#This Row],[COMPETÊNCIA]]</f>
        <v/>
      </c>
      <c r="T105" s="24">
        <f>ROW(TblApuracao[[#Headers],[COMPETÊNCIA]])</f>
        <v>2</v>
      </c>
      <c r="U105" s="24" t="str">
        <f>TblApuracao[[#This Row],[COLABORADOR]]&amp;TblApuracao[[#This Row],[COMPETÊNCIA]]</f>
        <v/>
      </c>
      <c r="V105" s="24" t="str">
        <f>INDEX(TblApuracao[COMPETÊNCIA],1)</f>
        <v>2026-03</v>
      </c>
      <c r="W105" s="25">
        <f>SUMPRODUCT((TblApuracao[COLABORADOR]="Emanuelly Ribeiro de Aguiar")*(TblApuracao[COMPETÊNCIA]&lt;="2025-09")*(TblApuracao[SALDO MÊS (h:mm)]&gt;0)*TblApuracao[SALDO MÊS (h:mm)])</f>
        <v>0.6875</v>
      </c>
    </row>
    <row r="106" spans="1:23" ht="15" customHeight="1" x14ac:dyDescent="0.25">
      <c r="A106" s="18">
        <f t="shared" si="1"/>
        <v>104</v>
      </c>
      <c r="B106" s="34"/>
      <c r="C106" s="19" t="str">
        <f>IFERROR(
  INDEX(TblCadastro[SETOR],
    MATCH(TblApuracao[[#This Row],[COLABORADOR]],TblCadastro[NOME COMPLETO],0)
  ),
  "Não cadastrado"
)</f>
        <v>Não cadastrado</v>
      </c>
      <c r="D106" s="34"/>
      <c r="E10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6" s="18" t="str">
        <f>IFERROR(
  INDEX(TblCadastro[JORNADA ATUAL (h/dia)],
    MATCH(TblApuracao[[#This Row],[COLABORADOR]],TblCadastro[NOME COMPLETO],0)
  ),
  ""
)</f>
        <v/>
      </c>
      <c r="G106" s="18" t="str">
        <f>IFERROR(
  INDEX(TblCadastro[TRABALHA SÁB?],
    MATCH(TblApuracao[[#This Row],[COLABORADOR]],TblCadastro[NOME COMPLETO],0)
  ),
  ""
)</f>
        <v/>
      </c>
      <c r="H10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6" s="34"/>
      <c r="J106" s="34"/>
      <c r="K106" s="34"/>
      <c r="L106" s="21">
        <f>TblApuracao[[#This Row],[HRS EXTRAS (h:mm)]]-TblApuracao[[#This Row],[FALTAS/ATRASOS (h:mm)]]+TblApuracao[[#This Row],[AJUSTE MANUAL (h:mm)]]</f>
        <v>0</v>
      </c>
      <c r="M106" s="21">
        <f>SUMPRODUCT((TblApuracao[COLABORADOR]=TblApuracao[[#This Row],[COLABORADOR]])*(TblApuracao[COMPETÊNCIA]&lt;=TblApuracao[[#This Row],[COMPETÊNCIA]])*TblApuracao[HRS EXTRAS (h:mm)])</f>
        <v>0</v>
      </c>
      <c r="N106" s="21">
        <f>SUMPRODUCT((TblApuracao[COLABORADOR]=TblApuracao[[#This Row],[COLABORADOR]])*(TblApuracao[COMPETÊNCIA]&lt;=TblApuracao[[#This Row],[COMPETÊNCIA]])*TblApuracao[FALTAS/ATRASOS (h:mm)])</f>
        <v>0</v>
      </c>
      <c r="O106" s="21">
        <f>TblApuracao[[#This Row],[SALDO ANT. (h:mm)]]+TblApuracao[[#This Row],[SALDO MÊS (h:mm)]]</f>
        <v>0</v>
      </c>
      <c r="P106" s="24"/>
      <c r="Q106" s="24"/>
      <c r="R106" s="24"/>
      <c r="S106" s="24" t="str">
        <f>TblApuracao[[#This Row],[COLABORADOR]]&amp;TblApuracao[[#This Row],[COMPETÊNCIA]]</f>
        <v/>
      </c>
      <c r="T106" s="24">
        <f>ROW(TblApuracao[[#Headers],[COMPETÊNCIA]])</f>
        <v>2</v>
      </c>
      <c r="U106" s="24" t="str">
        <f>TblApuracao[[#This Row],[COLABORADOR]]&amp;TblApuracao[[#This Row],[COMPETÊNCIA]]</f>
        <v/>
      </c>
      <c r="V106" s="24" t="str">
        <f>INDEX(TblApuracao[COMPETÊNCIA],1)</f>
        <v>2026-03</v>
      </c>
      <c r="W106" s="25">
        <f>SUMPRODUCT((TblApuracao[COLABORADOR]="Emanuelly Ribeiro de Aguiar")*(TblApuracao[COMPETÊNCIA]&lt;="2025-09")*(TblApuracao[SALDO MÊS (h:mm)]&gt;0)*TblApuracao[SALDO MÊS (h:mm)])</f>
        <v>0.6875</v>
      </c>
    </row>
    <row r="107" spans="1:23" ht="15" customHeight="1" x14ac:dyDescent="0.25">
      <c r="A107" s="18">
        <f t="shared" si="1"/>
        <v>105</v>
      </c>
      <c r="B107" s="34"/>
      <c r="C107" s="19" t="str">
        <f>IFERROR(
  INDEX(TblCadastro[SETOR],
    MATCH(TblApuracao[[#This Row],[COLABORADOR]],TblCadastro[NOME COMPLETO],0)
  ),
  "Não cadastrado"
)</f>
        <v>Não cadastrado</v>
      </c>
      <c r="D107" s="34"/>
      <c r="E10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7" s="18" t="str">
        <f>IFERROR(
  INDEX(TblCadastro[JORNADA ATUAL (h/dia)],
    MATCH(TblApuracao[[#This Row],[COLABORADOR]],TblCadastro[NOME COMPLETO],0)
  ),
  ""
)</f>
        <v/>
      </c>
      <c r="G107" s="18" t="str">
        <f>IFERROR(
  INDEX(TblCadastro[TRABALHA SÁB?],
    MATCH(TblApuracao[[#This Row],[COLABORADOR]],TblCadastro[NOME COMPLETO],0)
  ),
  ""
)</f>
        <v/>
      </c>
      <c r="H10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7" s="34"/>
      <c r="J107" s="34"/>
      <c r="K107" s="34"/>
      <c r="L107" s="21">
        <f>TblApuracao[[#This Row],[HRS EXTRAS (h:mm)]]-TblApuracao[[#This Row],[FALTAS/ATRASOS (h:mm)]]+TblApuracao[[#This Row],[AJUSTE MANUAL (h:mm)]]</f>
        <v>0</v>
      </c>
      <c r="M107" s="21">
        <f>SUMPRODUCT((TblApuracao[COLABORADOR]=TblApuracao[[#This Row],[COLABORADOR]])*(TblApuracao[COMPETÊNCIA]&lt;=TblApuracao[[#This Row],[COMPETÊNCIA]])*TblApuracao[HRS EXTRAS (h:mm)])</f>
        <v>0</v>
      </c>
      <c r="N107" s="21">
        <f>SUMPRODUCT((TblApuracao[COLABORADOR]=TblApuracao[[#This Row],[COLABORADOR]])*(TblApuracao[COMPETÊNCIA]&lt;=TblApuracao[[#This Row],[COMPETÊNCIA]])*TblApuracao[FALTAS/ATRASOS (h:mm)])</f>
        <v>0</v>
      </c>
      <c r="O107" s="21">
        <f>TblApuracao[[#This Row],[SALDO ANT. (h:mm)]]+TblApuracao[[#This Row],[SALDO MÊS (h:mm)]]</f>
        <v>0</v>
      </c>
      <c r="P107" s="24"/>
      <c r="Q107" s="24"/>
      <c r="R107" s="24"/>
      <c r="S107" s="24" t="str">
        <f>TblApuracao[[#This Row],[COLABORADOR]]&amp;TblApuracao[[#This Row],[COMPETÊNCIA]]</f>
        <v/>
      </c>
      <c r="T107" s="24">
        <f>ROW(TblApuracao[[#Headers],[COMPETÊNCIA]])</f>
        <v>2</v>
      </c>
      <c r="U107" s="24" t="str">
        <f>TblApuracao[[#This Row],[COLABORADOR]]&amp;TblApuracao[[#This Row],[COMPETÊNCIA]]</f>
        <v/>
      </c>
      <c r="V107" s="24" t="str">
        <f>INDEX(TblApuracao[COMPETÊNCIA],1)</f>
        <v>2026-03</v>
      </c>
      <c r="W107" s="25">
        <f>SUMPRODUCT((TblApuracao[COLABORADOR]="Emanuelly Ribeiro de Aguiar")*(TblApuracao[COMPETÊNCIA]&lt;="2025-09")*(TblApuracao[SALDO MÊS (h:mm)]&gt;0)*TblApuracao[SALDO MÊS (h:mm)])</f>
        <v>0.6875</v>
      </c>
    </row>
    <row r="108" spans="1:23" ht="15" customHeight="1" x14ac:dyDescent="0.25">
      <c r="A108" s="18">
        <f t="shared" si="1"/>
        <v>106</v>
      </c>
      <c r="B108" s="34"/>
      <c r="C108" s="19" t="str">
        <f>IFERROR(
  INDEX(TblCadastro[SETOR],
    MATCH(TblApuracao[[#This Row],[COLABORADOR]],TblCadastro[NOME COMPLETO],0)
  ),
  "Não cadastrado"
)</f>
        <v>Não cadastrado</v>
      </c>
      <c r="D108" s="34"/>
      <c r="E10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8" s="18" t="str">
        <f>IFERROR(
  INDEX(TblCadastro[JORNADA ATUAL (h/dia)],
    MATCH(TblApuracao[[#This Row],[COLABORADOR]],TblCadastro[NOME COMPLETO],0)
  ),
  ""
)</f>
        <v/>
      </c>
      <c r="G108" s="18" t="str">
        <f>IFERROR(
  INDEX(TblCadastro[TRABALHA SÁB?],
    MATCH(TblApuracao[[#This Row],[COLABORADOR]],TblCadastro[NOME COMPLETO],0)
  ),
  ""
)</f>
        <v/>
      </c>
      <c r="H10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8" s="34"/>
      <c r="J108" s="34"/>
      <c r="K108" s="34"/>
      <c r="L108" s="21">
        <f>TblApuracao[[#This Row],[HRS EXTRAS (h:mm)]]-TblApuracao[[#This Row],[FALTAS/ATRASOS (h:mm)]]+TblApuracao[[#This Row],[AJUSTE MANUAL (h:mm)]]</f>
        <v>0</v>
      </c>
      <c r="M108" s="21">
        <f>SUMPRODUCT((TblApuracao[COLABORADOR]=TblApuracao[[#This Row],[COLABORADOR]])*(TblApuracao[COMPETÊNCIA]&lt;=TblApuracao[[#This Row],[COMPETÊNCIA]])*TblApuracao[HRS EXTRAS (h:mm)])</f>
        <v>0</v>
      </c>
      <c r="N108" s="21">
        <f>SUMPRODUCT((TblApuracao[COLABORADOR]=TblApuracao[[#This Row],[COLABORADOR]])*(TblApuracao[COMPETÊNCIA]&lt;=TblApuracao[[#This Row],[COMPETÊNCIA]])*TblApuracao[FALTAS/ATRASOS (h:mm)])</f>
        <v>0</v>
      </c>
      <c r="O108" s="21">
        <f>TblApuracao[[#This Row],[SALDO ANT. (h:mm)]]+TblApuracao[[#This Row],[SALDO MÊS (h:mm)]]</f>
        <v>0</v>
      </c>
      <c r="P108" s="24"/>
      <c r="Q108" s="24"/>
      <c r="R108" s="24"/>
      <c r="S108" s="24" t="str">
        <f>TblApuracao[[#This Row],[COLABORADOR]]&amp;TblApuracao[[#This Row],[COMPETÊNCIA]]</f>
        <v/>
      </c>
      <c r="T108" s="24">
        <f>ROW(TblApuracao[[#Headers],[COMPETÊNCIA]])</f>
        <v>2</v>
      </c>
      <c r="U108" s="24" t="str">
        <f>TblApuracao[[#This Row],[COLABORADOR]]&amp;TblApuracao[[#This Row],[COMPETÊNCIA]]</f>
        <v/>
      </c>
      <c r="V108" s="24" t="str">
        <f>INDEX(TblApuracao[COMPETÊNCIA],1)</f>
        <v>2026-03</v>
      </c>
      <c r="W108" s="25">
        <f>SUMPRODUCT((TblApuracao[COLABORADOR]="Emanuelly Ribeiro de Aguiar")*(TblApuracao[COMPETÊNCIA]&lt;="2025-09")*(TblApuracao[SALDO MÊS (h:mm)]&gt;0)*TblApuracao[SALDO MÊS (h:mm)])</f>
        <v>0.6875</v>
      </c>
    </row>
    <row r="109" spans="1:23" ht="15" customHeight="1" x14ac:dyDescent="0.25">
      <c r="A109" s="18">
        <f t="shared" si="1"/>
        <v>107</v>
      </c>
      <c r="B109" s="34"/>
      <c r="C109" s="19" t="str">
        <f>IFERROR(
  INDEX(TblCadastro[SETOR],
    MATCH(TblApuracao[[#This Row],[COLABORADOR]],TblCadastro[NOME COMPLETO],0)
  ),
  "Não cadastrado"
)</f>
        <v>Não cadastrado</v>
      </c>
      <c r="D109" s="34"/>
      <c r="E10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9" s="18" t="str">
        <f>IFERROR(
  INDEX(TblCadastro[JORNADA ATUAL (h/dia)],
    MATCH(TblApuracao[[#This Row],[COLABORADOR]],TblCadastro[NOME COMPLETO],0)
  ),
  ""
)</f>
        <v/>
      </c>
      <c r="G109" s="18" t="str">
        <f>IFERROR(
  INDEX(TblCadastro[TRABALHA SÁB?],
    MATCH(TblApuracao[[#This Row],[COLABORADOR]],TblCadastro[NOME COMPLETO],0)
  ),
  ""
)</f>
        <v/>
      </c>
      <c r="H10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9" s="34"/>
      <c r="J109" s="34"/>
      <c r="K109" s="34"/>
      <c r="L109" s="21">
        <f>TblApuracao[[#This Row],[HRS EXTRAS (h:mm)]]-TblApuracao[[#This Row],[FALTAS/ATRASOS (h:mm)]]+TblApuracao[[#This Row],[AJUSTE MANUAL (h:mm)]]</f>
        <v>0</v>
      </c>
      <c r="M109" s="21">
        <f>SUMPRODUCT((TblApuracao[COLABORADOR]=TblApuracao[[#This Row],[COLABORADOR]])*(TblApuracao[COMPETÊNCIA]&lt;=TblApuracao[[#This Row],[COMPETÊNCIA]])*TblApuracao[HRS EXTRAS (h:mm)])</f>
        <v>0</v>
      </c>
      <c r="N109" s="21">
        <f>SUMPRODUCT((TblApuracao[COLABORADOR]=TblApuracao[[#This Row],[COLABORADOR]])*(TblApuracao[COMPETÊNCIA]&lt;=TblApuracao[[#This Row],[COMPETÊNCIA]])*TblApuracao[FALTAS/ATRASOS (h:mm)])</f>
        <v>0</v>
      </c>
      <c r="O109" s="21">
        <f>TblApuracao[[#This Row],[SALDO ANT. (h:mm)]]+TblApuracao[[#This Row],[SALDO MÊS (h:mm)]]</f>
        <v>0</v>
      </c>
      <c r="P109" s="24"/>
      <c r="Q109" s="24"/>
      <c r="R109" s="24"/>
      <c r="S109" s="24" t="str">
        <f>TblApuracao[[#This Row],[COLABORADOR]]&amp;TblApuracao[[#This Row],[COMPETÊNCIA]]</f>
        <v/>
      </c>
      <c r="T109" s="24">
        <f>ROW(TblApuracao[[#Headers],[COMPETÊNCIA]])</f>
        <v>2</v>
      </c>
      <c r="U109" s="24" t="str">
        <f>TblApuracao[[#This Row],[COLABORADOR]]&amp;TblApuracao[[#This Row],[COMPETÊNCIA]]</f>
        <v/>
      </c>
      <c r="V109" s="24" t="str">
        <f>INDEX(TblApuracao[COMPETÊNCIA],1)</f>
        <v>2026-03</v>
      </c>
      <c r="W109" s="25">
        <f>SUMPRODUCT((TblApuracao[COLABORADOR]="Emanuelly Ribeiro de Aguiar")*(TblApuracao[COMPETÊNCIA]&lt;="2025-09")*(TblApuracao[SALDO MÊS (h:mm)]&gt;0)*TblApuracao[SALDO MÊS (h:mm)])</f>
        <v>0.6875</v>
      </c>
    </row>
    <row r="110" spans="1:23" ht="15" customHeight="1" x14ac:dyDescent="0.25">
      <c r="A110" s="18">
        <f t="shared" si="1"/>
        <v>108</v>
      </c>
      <c r="B110" s="34"/>
      <c r="C110" s="19" t="str">
        <f>IFERROR(
  INDEX(TblCadastro[SETOR],
    MATCH(TblApuracao[[#This Row],[COLABORADOR]],TblCadastro[NOME COMPLETO],0)
  ),
  "Não cadastrado"
)</f>
        <v>Não cadastrado</v>
      </c>
      <c r="D110" s="34"/>
      <c r="E11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0" s="18" t="str">
        <f>IFERROR(
  INDEX(TblCadastro[JORNADA ATUAL (h/dia)],
    MATCH(TblApuracao[[#This Row],[COLABORADOR]],TblCadastro[NOME COMPLETO],0)
  ),
  ""
)</f>
        <v/>
      </c>
      <c r="G110" s="18" t="str">
        <f>IFERROR(
  INDEX(TblCadastro[TRABALHA SÁB?],
    MATCH(TblApuracao[[#This Row],[COLABORADOR]],TblCadastro[NOME COMPLETO],0)
  ),
  ""
)</f>
        <v/>
      </c>
      <c r="H11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0" s="34"/>
      <c r="J110" s="34"/>
      <c r="K110" s="34"/>
      <c r="L110" s="21">
        <f>TblApuracao[[#This Row],[HRS EXTRAS (h:mm)]]-TblApuracao[[#This Row],[FALTAS/ATRASOS (h:mm)]]+TblApuracao[[#This Row],[AJUSTE MANUAL (h:mm)]]</f>
        <v>0</v>
      </c>
      <c r="M110" s="21">
        <f>SUMPRODUCT((TblApuracao[COLABORADOR]=TblApuracao[[#This Row],[COLABORADOR]])*(TblApuracao[COMPETÊNCIA]&lt;=TblApuracao[[#This Row],[COMPETÊNCIA]])*TblApuracao[HRS EXTRAS (h:mm)])</f>
        <v>0</v>
      </c>
      <c r="N110" s="21">
        <f>SUMPRODUCT((TblApuracao[COLABORADOR]=TblApuracao[[#This Row],[COLABORADOR]])*(TblApuracao[COMPETÊNCIA]&lt;=TblApuracao[[#This Row],[COMPETÊNCIA]])*TblApuracao[FALTAS/ATRASOS (h:mm)])</f>
        <v>0</v>
      </c>
      <c r="O110" s="21">
        <f>TblApuracao[[#This Row],[SALDO ANT. (h:mm)]]+TblApuracao[[#This Row],[SALDO MÊS (h:mm)]]</f>
        <v>0</v>
      </c>
      <c r="P110" s="24"/>
      <c r="Q110" s="24"/>
      <c r="R110" s="24"/>
      <c r="S110" s="24" t="str">
        <f>TblApuracao[[#This Row],[COLABORADOR]]&amp;TblApuracao[[#This Row],[COMPETÊNCIA]]</f>
        <v/>
      </c>
      <c r="T110" s="24">
        <f>ROW(TblApuracao[[#Headers],[COMPETÊNCIA]])</f>
        <v>2</v>
      </c>
      <c r="U110" s="24" t="str">
        <f>TblApuracao[[#This Row],[COLABORADOR]]&amp;TblApuracao[[#This Row],[COMPETÊNCIA]]</f>
        <v/>
      </c>
      <c r="V110" s="24" t="str">
        <f>INDEX(TblApuracao[COMPETÊNCIA],1)</f>
        <v>2026-03</v>
      </c>
      <c r="W110" s="25">
        <f>SUMPRODUCT((TblApuracao[COLABORADOR]="Emanuelly Ribeiro de Aguiar")*(TblApuracao[COMPETÊNCIA]&lt;="2025-09")*(TblApuracao[SALDO MÊS (h:mm)]&gt;0)*TblApuracao[SALDO MÊS (h:mm)])</f>
        <v>0.6875</v>
      </c>
    </row>
    <row r="111" spans="1:23" ht="15" customHeight="1" x14ac:dyDescent="0.25">
      <c r="A111" s="18">
        <f t="shared" si="1"/>
        <v>109</v>
      </c>
      <c r="B111" s="34"/>
      <c r="C111" s="19" t="str">
        <f>IFERROR(
  INDEX(TblCadastro[SETOR],
    MATCH(TblApuracao[[#This Row],[COLABORADOR]],TblCadastro[NOME COMPLETO],0)
  ),
  "Não cadastrado"
)</f>
        <v>Não cadastrado</v>
      </c>
      <c r="D111" s="34"/>
      <c r="E11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1" s="18" t="str">
        <f>IFERROR(
  INDEX(TblCadastro[JORNADA ATUAL (h/dia)],
    MATCH(TblApuracao[[#This Row],[COLABORADOR]],TblCadastro[NOME COMPLETO],0)
  ),
  ""
)</f>
        <v/>
      </c>
      <c r="G111" s="18" t="str">
        <f>IFERROR(
  INDEX(TblCadastro[TRABALHA SÁB?],
    MATCH(TblApuracao[[#This Row],[COLABORADOR]],TblCadastro[NOME COMPLETO],0)
  ),
  ""
)</f>
        <v/>
      </c>
      <c r="H11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1" s="34"/>
      <c r="J111" s="34"/>
      <c r="K111" s="34"/>
      <c r="L111" s="21">
        <f>TblApuracao[[#This Row],[HRS EXTRAS (h:mm)]]-TblApuracao[[#This Row],[FALTAS/ATRASOS (h:mm)]]+TblApuracao[[#This Row],[AJUSTE MANUAL (h:mm)]]</f>
        <v>0</v>
      </c>
      <c r="M111" s="21">
        <f>SUMPRODUCT((TblApuracao[COLABORADOR]=TblApuracao[[#This Row],[COLABORADOR]])*(TblApuracao[COMPETÊNCIA]&lt;=TblApuracao[[#This Row],[COMPETÊNCIA]])*TblApuracao[HRS EXTRAS (h:mm)])</f>
        <v>0</v>
      </c>
      <c r="N111" s="21">
        <f>SUMPRODUCT((TblApuracao[COLABORADOR]=TblApuracao[[#This Row],[COLABORADOR]])*(TblApuracao[COMPETÊNCIA]&lt;=TblApuracao[[#This Row],[COMPETÊNCIA]])*TblApuracao[FALTAS/ATRASOS (h:mm)])</f>
        <v>0</v>
      </c>
      <c r="O111" s="21">
        <f>TblApuracao[[#This Row],[SALDO ANT. (h:mm)]]+TblApuracao[[#This Row],[SALDO MÊS (h:mm)]]</f>
        <v>0</v>
      </c>
      <c r="P111" s="24"/>
      <c r="Q111" s="24"/>
      <c r="R111" s="24"/>
      <c r="S111" s="24" t="str">
        <f>TblApuracao[[#This Row],[COLABORADOR]]&amp;TblApuracao[[#This Row],[COMPETÊNCIA]]</f>
        <v/>
      </c>
      <c r="T111" s="24">
        <f>ROW(TblApuracao[[#Headers],[COMPETÊNCIA]])</f>
        <v>2</v>
      </c>
      <c r="U111" s="24" t="str">
        <f>TblApuracao[[#This Row],[COLABORADOR]]&amp;TblApuracao[[#This Row],[COMPETÊNCIA]]</f>
        <v/>
      </c>
      <c r="V111" s="24" t="str">
        <f>INDEX(TblApuracao[COMPETÊNCIA],1)</f>
        <v>2026-03</v>
      </c>
      <c r="W111" s="25">
        <f>SUMPRODUCT((TblApuracao[COLABORADOR]="Emanuelly Ribeiro de Aguiar")*(TblApuracao[COMPETÊNCIA]&lt;="2025-09")*(TblApuracao[SALDO MÊS (h:mm)]&gt;0)*TblApuracao[SALDO MÊS (h:mm)])</f>
        <v>0.6875</v>
      </c>
    </row>
    <row r="112" spans="1:23" ht="15" customHeight="1" x14ac:dyDescent="0.25">
      <c r="A112" s="18">
        <f t="shared" si="1"/>
        <v>110</v>
      </c>
      <c r="B112" s="34"/>
      <c r="C112" s="19" t="str">
        <f>IFERROR(
  INDEX(TblCadastro[SETOR],
    MATCH(TblApuracao[[#This Row],[COLABORADOR]],TblCadastro[NOME COMPLETO],0)
  ),
  "Não cadastrado"
)</f>
        <v>Não cadastrado</v>
      </c>
      <c r="D112" s="34"/>
      <c r="E11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2" s="18" t="str">
        <f>IFERROR(
  INDEX(TblCadastro[JORNADA ATUAL (h/dia)],
    MATCH(TblApuracao[[#This Row],[COLABORADOR]],TblCadastro[NOME COMPLETO],0)
  ),
  ""
)</f>
        <v/>
      </c>
      <c r="G112" s="18" t="str">
        <f>IFERROR(
  INDEX(TblCadastro[TRABALHA SÁB?],
    MATCH(TblApuracao[[#This Row],[COLABORADOR]],TblCadastro[NOME COMPLETO],0)
  ),
  ""
)</f>
        <v/>
      </c>
      <c r="H11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2" s="34"/>
      <c r="J112" s="34"/>
      <c r="K112" s="34"/>
      <c r="L112" s="21">
        <f>TblApuracao[[#This Row],[HRS EXTRAS (h:mm)]]-TblApuracao[[#This Row],[FALTAS/ATRASOS (h:mm)]]+TblApuracao[[#This Row],[AJUSTE MANUAL (h:mm)]]</f>
        <v>0</v>
      </c>
      <c r="M112" s="21">
        <f>SUMPRODUCT((TblApuracao[COLABORADOR]=TblApuracao[[#This Row],[COLABORADOR]])*(TblApuracao[COMPETÊNCIA]&lt;=TblApuracao[[#This Row],[COMPETÊNCIA]])*TblApuracao[HRS EXTRAS (h:mm)])</f>
        <v>0</v>
      </c>
      <c r="N112" s="21">
        <f>SUMPRODUCT((TblApuracao[COLABORADOR]=TblApuracao[[#This Row],[COLABORADOR]])*(TblApuracao[COMPETÊNCIA]&lt;=TblApuracao[[#This Row],[COMPETÊNCIA]])*TblApuracao[FALTAS/ATRASOS (h:mm)])</f>
        <v>0</v>
      </c>
      <c r="O112" s="21">
        <f>TblApuracao[[#This Row],[SALDO ANT. (h:mm)]]+TblApuracao[[#This Row],[SALDO MÊS (h:mm)]]</f>
        <v>0</v>
      </c>
      <c r="P112" s="24"/>
      <c r="Q112" s="24"/>
      <c r="R112" s="24"/>
      <c r="S112" s="24" t="str">
        <f>TblApuracao[[#This Row],[COLABORADOR]]&amp;TblApuracao[[#This Row],[COMPETÊNCIA]]</f>
        <v/>
      </c>
      <c r="T112" s="24">
        <f>ROW(TblApuracao[[#Headers],[COMPETÊNCIA]])</f>
        <v>2</v>
      </c>
      <c r="U112" s="24" t="str">
        <f>TblApuracao[[#This Row],[COLABORADOR]]&amp;TblApuracao[[#This Row],[COMPETÊNCIA]]</f>
        <v/>
      </c>
      <c r="V112" s="24" t="str">
        <f>INDEX(TblApuracao[COMPETÊNCIA],1)</f>
        <v>2026-03</v>
      </c>
      <c r="W112" s="25">
        <f>SUMPRODUCT((TblApuracao[COLABORADOR]="Emanuelly Ribeiro de Aguiar")*(TblApuracao[COMPETÊNCIA]&lt;="2025-09")*(TblApuracao[SALDO MÊS (h:mm)]&gt;0)*TblApuracao[SALDO MÊS (h:mm)])</f>
        <v>0.6875</v>
      </c>
    </row>
    <row r="113" spans="1:23" ht="15" customHeight="1" x14ac:dyDescent="0.25">
      <c r="A113" s="18">
        <f t="shared" si="1"/>
        <v>111</v>
      </c>
      <c r="B113" s="34"/>
      <c r="C113" s="19" t="str">
        <f>IFERROR(
  INDEX(TblCadastro[SETOR],
    MATCH(TblApuracao[[#This Row],[COLABORADOR]],TblCadastro[NOME COMPLETO],0)
  ),
  "Não cadastrado"
)</f>
        <v>Não cadastrado</v>
      </c>
      <c r="D113" s="34"/>
      <c r="E11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3" s="18" t="str">
        <f>IFERROR(
  INDEX(TblCadastro[JORNADA ATUAL (h/dia)],
    MATCH(TblApuracao[[#This Row],[COLABORADOR]],TblCadastro[NOME COMPLETO],0)
  ),
  ""
)</f>
        <v/>
      </c>
      <c r="G113" s="18" t="str">
        <f>IFERROR(
  INDEX(TblCadastro[TRABALHA SÁB?],
    MATCH(TblApuracao[[#This Row],[COLABORADOR]],TblCadastro[NOME COMPLETO],0)
  ),
  ""
)</f>
        <v/>
      </c>
      <c r="H11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3" s="34"/>
      <c r="J113" s="34"/>
      <c r="K113" s="34"/>
      <c r="L113" s="21">
        <f>TblApuracao[[#This Row],[HRS EXTRAS (h:mm)]]-TblApuracao[[#This Row],[FALTAS/ATRASOS (h:mm)]]+TblApuracao[[#This Row],[AJUSTE MANUAL (h:mm)]]</f>
        <v>0</v>
      </c>
      <c r="M113" s="21">
        <f>SUMPRODUCT((TblApuracao[COLABORADOR]=TblApuracao[[#This Row],[COLABORADOR]])*(TblApuracao[COMPETÊNCIA]&lt;=TblApuracao[[#This Row],[COMPETÊNCIA]])*TblApuracao[HRS EXTRAS (h:mm)])</f>
        <v>0</v>
      </c>
      <c r="N113" s="21">
        <f>SUMPRODUCT((TblApuracao[COLABORADOR]=TblApuracao[[#This Row],[COLABORADOR]])*(TblApuracao[COMPETÊNCIA]&lt;=TblApuracao[[#This Row],[COMPETÊNCIA]])*TblApuracao[FALTAS/ATRASOS (h:mm)])</f>
        <v>0</v>
      </c>
      <c r="O113" s="21">
        <f>TblApuracao[[#This Row],[SALDO ANT. (h:mm)]]+TblApuracao[[#This Row],[SALDO MÊS (h:mm)]]</f>
        <v>0</v>
      </c>
      <c r="P113" s="24"/>
      <c r="Q113" s="24"/>
      <c r="R113" s="24"/>
      <c r="S113" s="24" t="str">
        <f>TblApuracao[[#This Row],[COLABORADOR]]&amp;TblApuracao[[#This Row],[COMPETÊNCIA]]</f>
        <v/>
      </c>
      <c r="T113" s="24">
        <f>ROW(TblApuracao[[#Headers],[COMPETÊNCIA]])</f>
        <v>2</v>
      </c>
      <c r="U113" s="24" t="str">
        <f>TblApuracao[[#This Row],[COLABORADOR]]&amp;TblApuracao[[#This Row],[COMPETÊNCIA]]</f>
        <v/>
      </c>
      <c r="V113" s="24" t="str">
        <f>INDEX(TblApuracao[COMPETÊNCIA],1)</f>
        <v>2026-03</v>
      </c>
      <c r="W113" s="25">
        <f>SUMPRODUCT((TblApuracao[COLABORADOR]="Emanuelly Ribeiro de Aguiar")*(TblApuracao[COMPETÊNCIA]&lt;="2025-09")*(TblApuracao[SALDO MÊS (h:mm)]&gt;0)*TblApuracao[SALDO MÊS (h:mm)])</f>
        <v>0.6875</v>
      </c>
    </row>
    <row r="114" spans="1:23" ht="15" customHeight="1" x14ac:dyDescent="0.25">
      <c r="A114" s="18">
        <f t="shared" si="1"/>
        <v>112</v>
      </c>
      <c r="B114" s="34"/>
      <c r="C114" s="19" t="str">
        <f>IFERROR(
  INDEX(TblCadastro[SETOR],
    MATCH(TblApuracao[[#This Row],[COLABORADOR]],TblCadastro[NOME COMPLETO],0)
  ),
  "Não cadastrado"
)</f>
        <v>Não cadastrado</v>
      </c>
      <c r="D114" s="34"/>
      <c r="E11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4" s="18" t="str">
        <f>IFERROR(
  INDEX(TblCadastro[JORNADA ATUAL (h/dia)],
    MATCH(TblApuracao[[#This Row],[COLABORADOR]],TblCadastro[NOME COMPLETO],0)
  ),
  ""
)</f>
        <v/>
      </c>
      <c r="G114" s="18" t="str">
        <f>IFERROR(
  INDEX(TblCadastro[TRABALHA SÁB?],
    MATCH(TblApuracao[[#This Row],[COLABORADOR]],TblCadastro[NOME COMPLETO],0)
  ),
  ""
)</f>
        <v/>
      </c>
      <c r="H11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4" s="34"/>
      <c r="J114" s="34"/>
      <c r="K114" s="34"/>
      <c r="L114" s="21">
        <f>TblApuracao[[#This Row],[HRS EXTRAS (h:mm)]]-TblApuracao[[#This Row],[FALTAS/ATRASOS (h:mm)]]+TblApuracao[[#This Row],[AJUSTE MANUAL (h:mm)]]</f>
        <v>0</v>
      </c>
      <c r="M114" s="21">
        <f>SUMPRODUCT((TblApuracao[COLABORADOR]=TblApuracao[[#This Row],[COLABORADOR]])*(TblApuracao[COMPETÊNCIA]&lt;=TblApuracao[[#This Row],[COMPETÊNCIA]])*TblApuracao[HRS EXTRAS (h:mm)])</f>
        <v>0</v>
      </c>
      <c r="N114" s="21">
        <f>SUMPRODUCT((TblApuracao[COLABORADOR]=TblApuracao[[#This Row],[COLABORADOR]])*(TblApuracao[COMPETÊNCIA]&lt;=TblApuracao[[#This Row],[COMPETÊNCIA]])*TblApuracao[FALTAS/ATRASOS (h:mm)])</f>
        <v>0</v>
      </c>
      <c r="O114" s="21">
        <f>TblApuracao[[#This Row],[SALDO ANT. (h:mm)]]+TblApuracao[[#This Row],[SALDO MÊS (h:mm)]]</f>
        <v>0</v>
      </c>
      <c r="P114" s="24"/>
      <c r="Q114" s="24"/>
      <c r="R114" s="24"/>
      <c r="S114" s="24" t="str">
        <f>TblApuracao[[#This Row],[COLABORADOR]]&amp;TblApuracao[[#This Row],[COMPETÊNCIA]]</f>
        <v/>
      </c>
      <c r="T114" s="24">
        <f>ROW(TblApuracao[[#Headers],[COMPETÊNCIA]])</f>
        <v>2</v>
      </c>
      <c r="U114" s="24" t="str">
        <f>TblApuracao[[#This Row],[COLABORADOR]]&amp;TblApuracao[[#This Row],[COMPETÊNCIA]]</f>
        <v/>
      </c>
      <c r="V114" s="24" t="str">
        <f>INDEX(TblApuracao[COMPETÊNCIA],1)</f>
        <v>2026-03</v>
      </c>
      <c r="W114" s="25">
        <f>SUMPRODUCT((TblApuracao[COLABORADOR]="Emanuelly Ribeiro de Aguiar")*(TblApuracao[COMPETÊNCIA]&lt;="2025-09")*(TblApuracao[SALDO MÊS (h:mm)]&gt;0)*TblApuracao[SALDO MÊS (h:mm)])</f>
        <v>0.6875</v>
      </c>
    </row>
    <row r="115" spans="1:23" ht="15" customHeight="1" x14ac:dyDescent="0.25">
      <c r="A115" s="18">
        <f t="shared" si="1"/>
        <v>113</v>
      </c>
      <c r="B115" s="34"/>
      <c r="C115" s="19" t="str">
        <f>IFERROR(
  INDEX(TblCadastro[SETOR],
    MATCH(TblApuracao[[#This Row],[COLABORADOR]],TblCadastro[NOME COMPLETO],0)
  ),
  "Não cadastrado"
)</f>
        <v>Não cadastrado</v>
      </c>
      <c r="D115" s="34"/>
      <c r="E11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5" s="18" t="str">
        <f>IFERROR(
  INDEX(TblCadastro[JORNADA ATUAL (h/dia)],
    MATCH(TblApuracao[[#This Row],[COLABORADOR]],TblCadastro[NOME COMPLETO],0)
  ),
  ""
)</f>
        <v/>
      </c>
      <c r="G115" s="18" t="str">
        <f>IFERROR(
  INDEX(TblCadastro[TRABALHA SÁB?],
    MATCH(TblApuracao[[#This Row],[COLABORADOR]],TblCadastro[NOME COMPLETO],0)
  ),
  ""
)</f>
        <v/>
      </c>
      <c r="H11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5" s="34"/>
      <c r="J115" s="34"/>
      <c r="K115" s="34"/>
      <c r="L115" s="21">
        <f>TblApuracao[[#This Row],[HRS EXTRAS (h:mm)]]-TblApuracao[[#This Row],[FALTAS/ATRASOS (h:mm)]]+TblApuracao[[#This Row],[AJUSTE MANUAL (h:mm)]]</f>
        <v>0</v>
      </c>
      <c r="M115" s="21">
        <f>SUMPRODUCT((TblApuracao[COLABORADOR]=TblApuracao[[#This Row],[COLABORADOR]])*(TblApuracao[COMPETÊNCIA]&lt;=TblApuracao[[#This Row],[COMPETÊNCIA]])*TblApuracao[HRS EXTRAS (h:mm)])</f>
        <v>0</v>
      </c>
      <c r="N115" s="21">
        <f>SUMPRODUCT((TblApuracao[COLABORADOR]=TblApuracao[[#This Row],[COLABORADOR]])*(TblApuracao[COMPETÊNCIA]&lt;=TblApuracao[[#This Row],[COMPETÊNCIA]])*TblApuracao[FALTAS/ATRASOS (h:mm)])</f>
        <v>0</v>
      </c>
      <c r="O115" s="21">
        <f>TblApuracao[[#This Row],[SALDO ANT. (h:mm)]]+TblApuracao[[#This Row],[SALDO MÊS (h:mm)]]</f>
        <v>0</v>
      </c>
      <c r="P115" s="24"/>
      <c r="Q115" s="24"/>
      <c r="R115" s="24"/>
      <c r="S115" s="24" t="str">
        <f>TblApuracao[[#This Row],[COLABORADOR]]&amp;TblApuracao[[#This Row],[COMPETÊNCIA]]</f>
        <v/>
      </c>
      <c r="T115" s="24">
        <f>ROW(TblApuracao[[#Headers],[COMPETÊNCIA]])</f>
        <v>2</v>
      </c>
      <c r="U115" s="24" t="str">
        <f>TblApuracao[[#This Row],[COLABORADOR]]&amp;TblApuracao[[#This Row],[COMPETÊNCIA]]</f>
        <v/>
      </c>
      <c r="V115" s="24" t="str">
        <f>INDEX(TblApuracao[COMPETÊNCIA],1)</f>
        <v>2026-03</v>
      </c>
      <c r="W115" s="25">
        <f>SUMPRODUCT((TblApuracao[COLABORADOR]="Emanuelly Ribeiro de Aguiar")*(TblApuracao[COMPETÊNCIA]&lt;="2025-09")*(TblApuracao[SALDO MÊS (h:mm)]&gt;0)*TblApuracao[SALDO MÊS (h:mm)])</f>
        <v>0.6875</v>
      </c>
    </row>
    <row r="116" spans="1:23" ht="15" customHeight="1" x14ac:dyDescent="0.25">
      <c r="A116" s="18">
        <f t="shared" si="1"/>
        <v>114</v>
      </c>
      <c r="B116" s="34"/>
      <c r="C116" s="19" t="str">
        <f>IFERROR(
  INDEX(TblCadastro[SETOR],
    MATCH(TblApuracao[[#This Row],[COLABORADOR]],TblCadastro[NOME COMPLETO],0)
  ),
  "Não cadastrado"
)</f>
        <v>Não cadastrado</v>
      </c>
      <c r="D116" s="34"/>
      <c r="E11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6" s="18" t="str">
        <f>IFERROR(
  INDEX(TblCadastro[JORNADA ATUAL (h/dia)],
    MATCH(TblApuracao[[#This Row],[COLABORADOR]],TblCadastro[NOME COMPLETO],0)
  ),
  ""
)</f>
        <v/>
      </c>
      <c r="G116" s="18" t="str">
        <f>IFERROR(
  INDEX(TblCadastro[TRABALHA SÁB?],
    MATCH(TblApuracao[[#This Row],[COLABORADOR]],TblCadastro[NOME COMPLETO],0)
  ),
  ""
)</f>
        <v/>
      </c>
      <c r="H11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6" s="34"/>
      <c r="J116" s="34"/>
      <c r="K116" s="34"/>
      <c r="L116" s="21">
        <f>TblApuracao[[#This Row],[HRS EXTRAS (h:mm)]]-TblApuracao[[#This Row],[FALTAS/ATRASOS (h:mm)]]+TblApuracao[[#This Row],[AJUSTE MANUAL (h:mm)]]</f>
        <v>0</v>
      </c>
      <c r="M116" s="21">
        <f>SUMPRODUCT((TblApuracao[COLABORADOR]=TblApuracao[[#This Row],[COLABORADOR]])*(TblApuracao[COMPETÊNCIA]&lt;=TblApuracao[[#This Row],[COMPETÊNCIA]])*TblApuracao[HRS EXTRAS (h:mm)])</f>
        <v>0</v>
      </c>
      <c r="N116" s="21">
        <f>SUMPRODUCT((TblApuracao[COLABORADOR]=TblApuracao[[#This Row],[COLABORADOR]])*(TblApuracao[COMPETÊNCIA]&lt;=TblApuracao[[#This Row],[COMPETÊNCIA]])*TblApuracao[FALTAS/ATRASOS (h:mm)])</f>
        <v>0</v>
      </c>
      <c r="O116" s="21">
        <f>TblApuracao[[#This Row],[SALDO ANT. (h:mm)]]+TblApuracao[[#This Row],[SALDO MÊS (h:mm)]]</f>
        <v>0</v>
      </c>
      <c r="P116" s="24"/>
      <c r="Q116" s="24"/>
      <c r="R116" s="24"/>
      <c r="S116" s="24" t="str">
        <f>TblApuracao[[#This Row],[COLABORADOR]]&amp;TblApuracao[[#This Row],[COMPETÊNCIA]]</f>
        <v/>
      </c>
      <c r="T116" s="24">
        <f>ROW(TblApuracao[[#Headers],[COMPETÊNCIA]])</f>
        <v>2</v>
      </c>
      <c r="U116" s="24" t="str">
        <f>TblApuracao[[#This Row],[COLABORADOR]]&amp;TblApuracao[[#This Row],[COMPETÊNCIA]]</f>
        <v/>
      </c>
      <c r="V116" s="24" t="str">
        <f>INDEX(TblApuracao[COMPETÊNCIA],1)</f>
        <v>2026-03</v>
      </c>
      <c r="W116" s="25">
        <f>SUMPRODUCT((TblApuracao[COLABORADOR]="Emanuelly Ribeiro de Aguiar")*(TblApuracao[COMPETÊNCIA]&lt;="2025-09")*(TblApuracao[SALDO MÊS (h:mm)]&gt;0)*TblApuracao[SALDO MÊS (h:mm)])</f>
        <v>0.6875</v>
      </c>
    </row>
    <row r="117" spans="1:23" ht="15" customHeight="1" x14ac:dyDescent="0.25">
      <c r="A117" s="18">
        <f t="shared" si="1"/>
        <v>115</v>
      </c>
      <c r="B117" s="34"/>
      <c r="C117" s="19" t="str">
        <f>IFERROR(
  INDEX(TblCadastro[SETOR],
    MATCH(TblApuracao[[#This Row],[COLABORADOR]],TblCadastro[NOME COMPLETO],0)
  ),
  "Não cadastrado"
)</f>
        <v>Não cadastrado</v>
      </c>
      <c r="D117" s="34"/>
      <c r="E11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7" s="18" t="str">
        <f>IFERROR(
  INDEX(TblCadastro[JORNADA ATUAL (h/dia)],
    MATCH(TblApuracao[[#This Row],[COLABORADOR]],TblCadastro[NOME COMPLETO],0)
  ),
  ""
)</f>
        <v/>
      </c>
      <c r="G117" s="18" t="str">
        <f>IFERROR(
  INDEX(TblCadastro[TRABALHA SÁB?],
    MATCH(TblApuracao[[#This Row],[COLABORADOR]],TblCadastro[NOME COMPLETO],0)
  ),
  ""
)</f>
        <v/>
      </c>
      <c r="H11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7" s="34"/>
      <c r="J117" s="34"/>
      <c r="K117" s="34"/>
      <c r="L117" s="21">
        <f>TblApuracao[[#This Row],[HRS EXTRAS (h:mm)]]-TblApuracao[[#This Row],[FALTAS/ATRASOS (h:mm)]]+TblApuracao[[#This Row],[AJUSTE MANUAL (h:mm)]]</f>
        <v>0</v>
      </c>
      <c r="M117" s="21">
        <f>SUMPRODUCT((TblApuracao[COLABORADOR]=TblApuracao[[#This Row],[COLABORADOR]])*(TblApuracao[COMPETÊNCIA]&lt;=TblApuracao[[#This Row],[COMPETÊNCIA]])*TblApuracao[HRS EXTRAS (h:mm)])</f>
        <v>0</v>
      </c>
      <c r="N117" s="21">
        <f>SUMPRODUCT((TblApuracao[COLABORADOR]=TblApuracao[[#This Row],[COLABORADOR]])*(TblApuracao[COMPETÊNCIA]&lt;=TblApuracao[[#This Row],[COMPETÊNCIA]])*TblApuracao[FALTAS/ATRASOS (h:mm)])</f>
        <v>0</v>
      </c>
      <c r="O117" s="21">
        <f>TblApuracao[[#This Row],[SALDO ANT. (h:mm)]]+TblApuracao[[#This Row],[SALDO MÊS (h:mm)]]</f>
        <v>0</v>
      </c>
      <c r="P117" s="24"/>
      <c r="Q117" s="24"/>
      <c r="R117" s="24"/>
      <c r="S117" s="24" t="str">
        <f>TblApuracao[[#This Row],[COLABORADOR]]&amp;TblApuracao[[#This Row],[COMPETÊNCIA]]</f>
        <v/>
      </c>
      <c r="T117" s="24">
        <f>ROW(TblApuracao[[#Headers],[COMPETÊNCIA]])</f>
        <v>2</v>
      </c>
      <c r="U117" s="24" t="str">
        <f>TblApuracao[[#This Row],[COLABORADOR]]&amp;TblApuracao[[#This Row],[COMPETÊNCIA]]</f>
        <v/>
      </c>
      <c r="V117" s="24" t="str">
        <f>INDEX(TblApuracao[COMPETÊNCIA],1)</f>
        <v>2026-03</v>
      </c>
      <c r="W117" s="25">
        <f>SUMPRODUCT((TblApuracao[COLABORADOR]="Emanuelly Ribeiro de Aguiar")*(TblApuracao[COMPETÊNCIA]&lt;="2025-09")*(TblApuracao[SALDO MÊS (h:mm)]&gt;0)*TblApuracao[SALDO MÊS (h:mm)])</f>
        <v>0.6875</v>
      </c>
    </row>
    <row r="118" spans="1:23" ht="15" customHeight="1" x14ac:dyDescent="0.25">
      <c r="A118" s="18">
        <f t="shared" si="1"/>
        <v>116</v>
      </c>
      <c r="B118" s="34"/>
      <c r="C118" s="19" t="str">
        <f>IFERROR(
  INDEX(TblCadastro[SETOR],
    MATCH(TblApuracao[[#This Row],[COLABORADOR]],TblCadastro[NOME COMPLETO],0)
  ),
  "Não cadastrado"
)</f>
        <v>Não cadastrado</v>
      </c>
      <c r="D118" s="34"/>
      <c r="E11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8" s="18" t="str">
        <f>IFERROR(
  INDEX(TblCadastro[JORNADA ATUAL (h/dia)],
    MATCH(TblApuracao[[#This Row],[COLABORADOR]],TblCadastro[NOME COMPLETO],0)
  ),
  ""
)</f>
        <v/>
      </c>
      <c r="G118" s="18" t="str">
        <f>IFERROR(
  INDEX(TblCadastro[TRABALHA SÁB?],
    MATCH(TblApuracao[[#This Row],[COLABORADOR]],TblCadastro[NOME COMPLETO],0)
  ),
  ""
)</f>
        <v/>
      </c>
      <c r="H11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8" s="34"/>
      <c r="J118" s="34"/>
      <c r="K118" s="34"/>
      <c r="L118" s="21">
        <f>TblApuracao[[#This Row],[HRS EXTRAS (h:mm)]]-TblApuracao[[#This Row],[FALTAS/ATRASOS (h:mm)]]+TblApuracao[[#This Row],[AJUSTE MANUAL (h:mm)]]</f>
        <v>0</v>
      </c>
      <c r="M118" s="21">
        <f>SUMPRODUCT((TblApuracao[COLABORADOR]=TblApuracao[[#This Row],[COLABORADOR]])*(TblApuracao[COMPETÊNCIA]&lt;=TblApuracao[[#This Row],[COMPETÊNCIA]])*TblApuracao[HRS EXTRAS (h:mm)])</f>
        <v>0</v>
      </c>
      <c r="N118" s="21">
        <f>SUMPRODUCT((TblApuracao[COLABORADOR]=TblApuracao[[#This Row],[COLABORADOR]])*(TblApuracao[COMPETÊNCIA]&lt;=TblApuracao[[#This Row],[COMPETÊNCIA]])*TblApuracao[FALTAS/ATRASOS (h:mm)])</f>
        <v>0</v>
      </c>
      <c r="O118" s="21">
        <f>TblApuracao[[#This Row],[SALDO ANT. (h:mm)]]+TblApuracao[[#This Row],[SALDO MÊS (h:mm)]]</f>
        <v>0</v>
      </c>
      <c r="P118" s="24"/>
      <c r="Q118" s="24"/>
      <c r="R118" s="24"/>
      <c r="S118" s="24" t="str">
        <f>TblApuracao[[#This Row],[COLABORADOR]]&amp;TblApuracao[[#This Row],[COMPETÊNCIA]]</f>
        <v/>
      </c>
      <c r="T118" s="24">
        <f>ROW(TblApuracao[[#Headers],[COMPETÊNCIA]])</f>
        <v>2</v>
      </c>
      <c r="U118" s="24" t="str">
        <f>TblApuracao[[#This Row],[COLABORADOR]]&amp;TblApuracao[[#This Row],[COMPETÊNCIA]]</f>
        <v/>
      </c>
      <c r="V118" s="24" t="str">
        <f>INDEX(TblApuracao[COMPETÊNCIA],1)</f>
        <v>2026-03</v>
      </c>
      <c r="W118" s="25">
        <f>SUMPRODUCT((TblApuracao[COLABORADOR]="Emanuelly Ribeiro de Aguiar")*(TblApuracao[COMPETÊNCIA]&lt;="2025-09")*(TblApuracao[SALDO MÊS (h:mm)]&gt;0)*TblApuracao[SALDO MÊS (h:mm)])</f>
        <v>0.6875</v>
      </c>
    </row>
    <row r="119" spans="1:23" ht="15" customHeight="1" x14ac:dyDescent="0.25">
      <c r="A119" s="18">
        <f t="shared" si="1"/>
        <v>117</v>
      </c>
      <c r="B119" s="34"/>
      <c r="C119" s="19" t="str">
        <f>IFERROR(
  INDEX(TblCadastro[SETOR],
    MATCH(TblApuracao[[#This Row],[COLABORADOR]],TblCadastro[NOME COMPLETO],0)
  ),
  "Não cadastrado"
)</f>
        <v>Não cadastrado</v>
      </c>
      <c r="D119" s="34"/>
      <c r="E11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9" s="18" t="str">
        <f>IFERROR(
  INDEX(TblCadastro[JORNADA ATUAL (h/dia)],
    MATCH(TblApuracao[[#This Row],[COLABORADOR]],TblCadastro[NOME COMPLETO],0)
  ),
  ""
)</f>
        <v/>
      </c>
      <c r="G119" s="18" t="str">
        <f>IFERROR(
  INDEX(TblCadastro[TRABALHA SÁB?],
    MATCH(TblApuracao[[#This Row],[COLABORADOR]],TblCadastro[NOME COMPLETO],0)
  ),
  ""
)</f>
        <v/>
      </c>
      <c r="H11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9" s="34"/>
      <c r="J119" s="34"/>
      <c r="K119" s="34"/>
      <c r="L119" s="21">
        <f>TblApuracao[[#This Row],[HRS EXTRAS (h:mm)]]-TblApuracao[[#This Row],[FALTAS/ATRASOS (h:mm)]]+TblApuracao[[#This Row],[AJUSTE MANUAL (h:mm)]]</f>
        <v>0</v>
      </c>
      <c r="M119" s="21">
        <f>SUMPRODUCT((TblApuracao[COLABORADOR]=TblApuracao[[#This Row],[COLABORADOR]])*(TblApuracao[COMPETÊNCIA]&lt;=TblApuracao[[#This Row],[COMPETÊNCIA]])*TblApuracao[HRS EXTRAS (h:mm)])</f>
        <v>0</v>
      </c>
      <c r="N119" s="21">
        <f>SUMPRODUCT((TblApuracao[COLABORADOR]=TblApuracao[[#This Row],[COLABORADOR]])*(TblApuracao[COMPETÊNCIA]&lt;=TblApuracao[[#This Row],[COMPETÊNCIA]])*TblApuracao[FALTAS/ATRASOS (h:mm)])</f>
        <v>0</v>
      </c>
      <c r="O119" s="21">
        <f>TblApuracao[[#This Row],[SALDO ANT. (h:mm)]]+TblApuracao[[#This Row],[SALDO MÊS (h:mm)]]</f>
        <v>0</v>
      </c>
      <c r="P119" s="24"/>
      <c r="Q119" s="24"/>
      <c r="R119" s="24"/>
      <c r="S119" s="24" t="str">
        <f>TblApuracao[[#This Row],[COLABORADOR]]&amp;TblApuracao[[#This Row],[COMPETÊNCIA]]</f>
        <v/>
      </c>
      <c r="T119" s="24">
        <f>ROW(TblApuracao[[#Headers],[COMPETÊNCIA]])</f>
        <v>2</v>
      </c>
      <c r="U119" s="24" t="str">
        <f>TblApuracao[[#This Row],[COLABORADOR]]&amp;TblApuracao[[#This Row],[COMPETÊNCIA]]</f>
        <v/>
      </c>
      <c r="V119" s="24" t="str">
        <f>INDEX(TblApuracao[COMPETÊNCIA],1)</f>
        <v>2026-03</v>
      </c>
      <c r="W119" s="25">
        <f>SUMPRODUCT((TblApuracao[COLABORADOR]="Emanuelly Ribeiro de Aguiar")*(TblApuracao[COMPETÊNCIA]&lt;="2025-09")*(TblApuracao[SALDO MÊS (h:mm)]&gt;0)*TblApuracao[SALDO MÊS (h:mm)])</f>
        <v>0.6875</v>
      </c>
    </row>
    <row r="120" spans="1:23" ht="15" customHeight="1" x14ac:dyDescent="0.25">
      <c r="A120" s="18">
        <f t="shared" si="1"/>
        <v>118</v>
      </c>
      <c r="B120" s="34"/>
      <c r="C120" s="19" t="str">
        <f>IFERROR(
  INDEX(TblCadastro[SETOR],
    MATCH(TblApuracao[[#This Row],[COLABORADOR]],TblCadastro[NOME COMPLETO],0)
  ),
  "Não cadastrado"
)</f>
        <v>Não cadastrado</v>
      </c>
      <c r="D120" s="34"/>
      <c r="E12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0" s="18" t="str">
        <f>IFERROR(
  INDEX(TblCadastro[JORNADA ATUAL (h/dia)],
    MATCH(TblApuracao[[#This Row],[COLABORADOR]],TblCadastro[NOME COMPLETO],0)
  ),
  ""
)</f>
        <v/>
      </c>
      <c r="G120" s="18" t="str">
        <f>IFERROR(
  INDEX(TblCadastro[TRABALHA SÁB?],
    MATCH(TblApuracao[[#This Row],[COLABORADOR]],TblCadastro[NOME COMPLETO],0)
  ),
  ""
)</f>
        <v/>
      </c>
      <c r="H12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0" s="34"/>
      <c r="J120" s="34"/>
      <c r="K120" s="34"/>
      <c r="L120" s="21">
        <f>TblApuracao[[#This Row],[HRS EXTRAS (h:mm)]]-TblApuracao[[#This Row],[FALTAS/ATRASOS (h:mm)]]+TblApuracao[[#This Row],[AJUSTE MANUAL (h:mm)]]</f>
        <v>0</v>
      </c>
      <c r="M120" s="21">
        <f>SUMPRODUCT((TblApuracao[COLABORADOR]=TblApuracao[[#This Row],[COLABORADOR]])*(TblApuracao[COMPETÊNCIA]&lt;=TblApuracao[[#This Row],[COMPETÊNCIA]])*TblApuracao[HRS EXTRAS (h:mm)])</f>
        <v>0</v>
      </c>
      <c r="N120" s="21">
        <f>SUMPRODUCT((TblApuracao[COLABORADOR]=TblApuracao[[#This Row],[COLABORADOR]])*(TblApuracao[COMPETÊNCIA]&lt;=TblApuracao[[#This Row],[COMPETÊNCIA]])*TblApuracao[FALTAS/ATRASOS (h:mm)])</f>
        <v>0</v>
      </c>
      <c r="O120" s="21">
        <f>TblApuracao[[#This Row],[SALDO ANT. (h:mm)]]+TblApuracao[[#This Row],[SALDO MÊS (h:mm)]]</f>
        <v>0</v>
      </c>
      <c r="P120" s="24"/>
      <c r="Q120" s="24"/>
      <c r="R120" s="24"/>
      <c r="S120" s="24" t="str">
        <f>TblApuracao[[#This Row],[COLABORADOR]]&amp;TblApuracao[[#This Row],[COMPETÊNCIA]]</f>
        <v/>
      </c>
      <c r="T120" s="24">
        <f>ROW(TblApuracao[[#Headers],[COMPETÊNCIA]])</f>
        <v>2</v>
      </c>
      <c r="U120" s="24" t="str">
        <f>TblApuracao[[#This Row],[COLABORADOR]]&amp;TblApuracao[[#This Row],[COMPETÊNCIA]]</f>
        <v/>
      </c>
      <c r="V120" s="24" t="str">
        <f>INDEX(TblApuracao[COMPETÊNCIA],1)</f>
        <v>2026-03</v>
      </c>
      <c r="W120" s="25">
        <f>SUMPRODUCT((TblApuracao[COLABORADOR]="Emanuelly Ribeiro de Aguiar")*(TblApuracao[COMPETÊNCIA]&lt;="2025-09")*(TblApuracao[SALDO MÊS (h:mm)]&gt;0)*TblApuracao[SALDO MÊS (h:mm)])</f>
        <v>0.6875</v>
      </c>
    </row>
    <row r="121" spans="1:23" ht="15" customHeight="1" x14ac:dyDescent="0.25">
      <c r="A121" s="18">
        <f t="shared" si="1"/>
        <v>119</v>
      </c>
      <c r="B121" s="34"/>
      <c r="C121" s="19" t="str">
        <f>IFERROR(
  INDEX(TblCadastro[SETOR],
    MATCH(TblApuracao[[#This Row],[COLABORADOR]],TblCadastro[NOME COMPLETO],0)
  ),
  "Não cadastrado"
)</f>
        <v>Não cadastrado</v>
      </c>
      <c r="D121" s="34"/>
      <c r="E12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1" s="18" t="str">
        <f>IFERROR(
  INDEX(TblCadastro[JORNADA ATUAL (h/dia)],
    MATCH(TblApuracao[[#This Row],[COLABORADOR]],TblCadastro[NOME COMPLETO],0)
  ),
  ""
)</f>
        <v/>
      </c>
      <c r="G121" s="18" t="str">
        <f>IFERROR(
  INDEX(TblCadastro[TRABALHA SÁB?],
    MATCH(TblApuracao[[#This Row],[COLABORADOR]],TblCadastro[NOME COMPLETO],0)
  ),
  ""
)</f>
        <v/>
      </c>
      <c r="H12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1" s="34"/>
      <c r="J121" s="34"/>
      <c r="K121" s="34"/>
      <c r="L121" s="21">
        <f>TblApuracao[[#This Row],[HRS EXTRAS (h:mm)]]-TblApuracao[[#This Row],[FALTAS/ATRASOS (h:mm)]]+TblApuracao[[#This Row],[AJUSTE MANUAL (h:mm)]]</f>
        <v>0</v>
      </c>
      <c r="M121" s="21">
        <f>SUMPRODUCT((TblApuracao[COLABORADOR]=TblApuracao[[#This Row],[COLABORADOR]])*(TblApuracao[COMPETÊNCIA]&lt;=TblApuracao[[#This Row],[COMPETÊNCIA]])*TblApuracao[HRS EXTRAS (h:mm)])</f>
        <v>0</v>
      </c>
      <c r="N121" s="21">
        <f>SUMPRODUCT((TblApuracao[COLABORADOR]=TblApuracao[[#This Row],[COLABORADOR]])*(TblApuracao[COMPETÊNCIA]&lt;=TblApuracao[[#This Row],[COMPETÊNCIA]])*TblApuracao[FALTAS/ATRASOS (h:mm)])</f>
        <v>0</v>
      </c>
      <c r="O121" s="21">
        <f>TblApuracao[[#This Row],[SALDO ANT. (h:mm)]]+TblApuracao[[#This Row],[SALDO MÊS (h:mm)]]</f>
        <v>0</v>
      </c>
      <c r="P121" s="24"/>
      <c r="Q121" s="24"/>
      <c r="R121" s="24"/>
      <c r="S121" s="24" t="str">
        <f>TblApuracao[[#This Row],[COLABORADOR]]&amp;TblApuracao[[#This Row],[COMPETÊNCIA]]</f>
        <v/>
      </c>
      <c r="T121" s="24">
        <f>ROW(TblApuracao[[#Headers],[COMPETÊNCIA]])</f>
        <v>2</v>
      </c>
      <c r="U121" s="24" t="str">
        <f>TblApuracao[[#This Row],[COLABORADOR]]&amp;TblApuracao[[#This Row],[COMPETÊNCIA]]</f>
        <v/>
      </c>
      <c r="V121" s="24" t="str">
        <f>INDEX(TblApuracao[COMPETÊNCIA],1)</f>
        <v>2026-03</v>
      </c>
      <c r="W121" s="25">
        <f>SUMPRODUCT((TblApuracao[COLABORADOR]="Emanuelly Ribeiro de Aguiar")*(TblApuracao[COMPETÊNCIA]&lt;="2025-09")*(TblApuracao[SALDO MÊS (h:mm)]&gt;0)*TblApuracao[SALDO MÊS (h:mm)])</f>
        <v>0.6875</v>
      </c>
    </row>
    <row r="122" spans="1:23" ht="15" customHeight="1" x14ac:dyDescent="0.25">
      <c r="A122" s="18">
        <f t="shared" si="1"/>
        <v>120</v>
      </c>
      <c r="B122" s="34"/>
      <c r="C122" s="19" t="str">
        <f>IFERROR(
  INDEX(TblCadastro[SETOR],
    MATCH(TblApuracao[[#This Row],[COLABORADOR]],TblCadastro[NOME COMPLETO],0)
  ),
  "Não cadastrado"
)</f>
        <v>Não cadastrado</v>
      </c>
      <c r="D122" s="34"/>
      <c r="E12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2" s="18" t="str">
        <f>IFERROR(
  INDEX(TblCadastro[JORNADA ATUAL (h/dia)],
    MATCH(TblApuracao[[#This Row],[COLABORADOR]],TblCadastro[NOME COMPLETO],0)
  ),
  ""
)</f>
        <v/>
      </c>
      <c r="G122" s="18" t="str">
        <f>IFERROR(
  INDEX(TblCadastro[TRABALHA SÁB?],
    MATCH(TblApuracao[[#This Row],[COLABORADOR]],TblCadastro[NOME COMPLETO],0)
  ),
  ""
)</f>
        <v/>
      </c>
      <c r="H12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2" s="34"/>
      <c r="J122" s="34"/>
      <c r="K122" s="34"/>
      <c r="L122" s="21">
        <f>TblApuracao[[#This Row],[HRS EXTRAS (h:mm)]]-TblApuracao[[#This Row],[FALTAS/ATRASOS (h:mm)]]+TblApuracao[[#This Row],[AJUSTE MANUAL (h:mm)]]</f>
        <v>0</v>
      </c>
      <c r="M122" s="21">
        <f>SUMPRODUCT((TblApuracao[COLABORADOR]=TblApuracao[[#This Row],[COLABORADOR]])*(TblApuracao[COMPETÊNCIA]&lt;=TblApuracao[[#This Row],[COMPETÊNCIA]])*TblApuracao[HRS EXTRAS (h:mm)])</f>
        <v>0</v>
      </c>
      <c r="N122" s="21">
        <f>SUMPRODUCT((TblApuracao[COLABORADOR]=TblApuracao[[#This Row],[COLABORADOR]])*(TblApuracao[COMPETÊNCIA]&lt;=TblApuracao[[#This Row],[COMPETÊNCIA]])*TblApuracao[FALTAS/ATRASOS (h:mm)])</f>
        <v>0</v>
      </c>
      <c r="O122" s="21">
        <f>TblApuracao[[#This Row],[SALDO ANT. (h:mm)]]+TblApuracao[[#This Row],[SALDO MÊS (h:mm)]]</f>
        <v>0</v>
      </c>
      <c r="P122" s="24"/>
      <c r="Q122" s="24"/>
      <c r="R122" s="24"/>
      <c r="S122" s="24" t="str">
        <f>TblApuracao[[#This Row],[COLABORADOR]]&amp;TblApuracao[[#This Row],[COMPETÊNCIA]]</f>
        <v/>
      </c>
      <c r="T122" s="24">
        <f>ROW(TblApuracao[[#Headers],[COMPETÊNCIA]])</f>
        <v>2</v>
      </c>
      <c r="U122" s="24" t="str">
        <f>TblApuracao[[#This Row],[COLABORADOR]]&amp;TblApuracao[[#This Row],[COMPETÊNCIA]]</f>
        <v/>
      </c>
      <c r="V122" s="24" t="str">
        <f>INDEX(TblApuracao[COMPETÊNCIA],1)</f>
        <v>2026-03</v>
      </c>
      <c r="W122" s="25">
        <f>SUMPRODUCT((TblApuracao[COLABORADOR]="Emanuelly Ribeiro de Aguiar")*(TblApuracao[COMPETÊNCIA]&lt;="2025-09")*(TblApuracao[SALDO MÊS (h:mm)]&gt;0)*TblApuracao[SALDO MÊS (h:mm)])</f>
        <v>0.6875</v>
      </c>
    </row>
    <row r="123" spans="1:23" ht="15" customHeight="1" x14ac:dyDescent="0.25">
      <c r="A123" s="18">
        <f t="shared" si="1"/>
        <v>121</v>
      </c>
      <c r="B123" s="34"/>
      <c r="C123" s="19" t="str">
        <f>IFERROR(
  INDEX(TblCadastro[SETOR],
    MATCH(TblApuracao[[#This Row],[COLABORADOR]],TblCadastro[NOME COMPLETO],0)
  ),
  "Não cadastrado"
)</f>
        <v>Não cadastrado</v>
      </c>
      <c r="D123" s="34"/>
      <c r="E12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3" s="18" t="str">
        <f>IFERROR(
  INDEX(TblCadastro[JORNADA ATUAL (h/dia)],
    MATCH(TblApuracao[[#This Row],[COLABORADOR]],TblCadastro[NOME COMPLETO],0)
  ),
  ""
)</f>
        <v/>
      </c>
      <c r="G123" s="18" t="str">
        <f>IFERROR(
  INDEX(TblCadastro[TRABALHA SÁB?],
    MATCH(TblApuracao[[#This Row],[COLABORADOR]],TblCadastro[NOME COMPLETO],0)
  ),
  ""
)</f>
        <v/>
      </c>
      <c r="H12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3" s="34"/>
      <c r="J123" s="34"/>
      <c r="K123" s="34"/>
      <c r="L123" s="21">
        <f>TblApuracao[[#This Row],[HRS EXTRAS (h:mm)]]-TblApuracao[[#This Row],[FALTAS/ATRASOS (h:mm)]]+TblApuracao[[#This Row],[AJUSTE MANUAL (h:mm)]]</f>
        <v>0</v>
      </c>
      <c r="M123" s="21">
        <f>SUMPRODUCT((TblApuracao[COLABORADOR]=TblApuracao[[#This Row],[COLABORADOR]])*(TblApuracao[COMPETÊNCIA]&lt;=TblApuracao[[#This Row],[COMPETÊNCIA]])*TblApuracao[HRS EXTRAS (h:mm)])</f>
        <v>0</v>
      </c>
      <c r="N123" s="21">
        <f>SUMPRODUCT((TblApuracao[COLABORADOR]=TblApuracao[[#This Row],[COLABORADOR]])*(TblApuracao[COMPETÊNCIA]&lt;=TblApuracao[[#This Row],[COMPETÊNCIA]])*TblApuracao[FALTAS/ATRASOS (h:mm)])</f>
        <v>0</v>
      </c>
      <c r="O123" s="21">
        <f>TblApuracao[[#This Row],[SALDO ANT. (h:mm)]]+TblApuracao[[#This Row],[SALDO MÊS (h:mm)]]</f>
        <v>0</v>
      </c>
      <c r="P123" s="24"/>
      <c r="Q123" s="24"/>
      <c r="R123" s="24"/>
      <c r="S123" s="24" t="str">
        <f>TblApuracao[[#This Row],[COLABORADOR]]&amp;TblApuracao[[#This Row],[COMPETÊNCIA]]</f>
        <v/>
      </c>
      <c r="T123" s="24">
        <f>ROW(TblApuracao[[#Headers],[COMPETÊNCIA]])</f>
        <v>2</v>
      </c>
      <c r="U123" s="24" t="str">
        <f>TblApuracao[[#This Row],[COLABORADOR]]&amp;TblApuracao[[#This Row],[COMPETÊNCIA]]</f>
        <v/>
      </c>
      <c r="V123" s="24" t="str">
        <f>INDEX(TblApuracao[COMPETÊNCIA],1)</f>
        <v>2026-03</v>
      </c>
      <c r="W123" s="25">
        <f>SUMPRODUCT((TblApuracao[COLABORADOR]="Emanuelly Ribeiro de Aguiar")*(TblApuracao[COMPETÊNCIA]&lt;="2025-09")*(TblApuracao[SALDO MÊS (h:mm)]&gt;0)*TblApuracao[SALDO MÊS (h:mm)])</f>
        <v>0.6875</v>
      </c>
    </row>
    <row r="124" spans="1:23" ht="15" customHeight="1" x14ac:dyDescent="0.25">
      <c r="A124" s="18">
        <f t="shared" si="1"/>
        <v>122</v>
      </c>
      <c r="B124" s="34"/>
      <c r="C124" s="19" t="str">
        <f>IFERROR(
  INDEX(TblCadastro[SETOR],
    MATCH(TblApuracao[[#This Row],[COLABORADOR]],TblCadastro[NOME COMPLETO],0)
  ),
  "Não cadastrado"
)</f>
        <v>Não cadastrado</v>
      </c>
      <c r="D124" s="34"/>
      <c r="E12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4" s="18" t="str">
        <f>IFERROR(
  INDEX(TblCadastro[JORNADA ATUAL (h/dia)],
    MATCH(TblApuracao[[#This Row],[COLABORADOR]],TblCadastro[NOME COMPLETO],0)
  ),
  ""
)</f>
        <v/>
      </c>
      <c r="G124" s="18" t="str">
        <f>IFERROR(
  INDEX(TblCadastro[TRABALHA SÁB?],
    MATCH(TblApuracao[[#This Row],[COLABORADOR]],TblCadastro[NOME COMPLETO],0)
  ),
  ""
)</f>
        <v/>
      </c>
      <c r="H12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4" s="34"/>
      <c r="J124" s="34"/>
      <c r="K124" s="34"/>
      <c r="L124" s="21">
        <f>TblApuracao[[#This Row],[HRS EXTRAS (h:mm)]]-TblApuracao[[#This Row],[FALTAS/ATRASOS (h:mm)]]+TblApuracao[[#This Row],[AJUSTE MANUAL (h:mm)]]</f>
        <v>0</v>
      </c>
      <c r="M124" s="21">
        <f>SUMPRODUCT((TblApuracao[COLABORADOR]=TblApuracao[[#This Row],[COLABORADOR]])*(TblApuracao[COMPETÊNCIA]&lt;=TblApuracao[[#This Row],[COMPETÊNCIA]])*TblApuracao[HRS EXTRAS (h:mm)])</f>
        <v>0</v>
      </c>
      <c r="N124" s="21">
        <f>SUMPRODUCT((TblApuracao[COLABORADOR]=TblApuracao[[#This Row],[COLABORADOR]])*(TblApuracao[COMPETÊNCIA]&lt;=TblApuracao[[#This Row],[COMPETÊNCIA]])*TblApuracao[FALTAS/ATRASOS (h:mm)])</f>
        <v>0</v>
      </c>
      <c r="O124" s="21">
        <f>TblApuracao[[#This Row],[SALDO ANT. (h:mm)]]+TblApuracao[[#This Row],[SALDO MÊS (h:mm)]]</f>
        <v>0</v>
      </c>
      <c r="P124" s="24"/>
      <c r="Q124" s="24"/>
      <c r="R124" s="24"/>
      <c r="S124" s="24" t="str">
        <f>TblApuracao[[#This Row],[COLABORADOR]]&amp;TblApuracao[[#This Row],[COMPETÊNCIA]]</f>
        <v/>
      </c>
      <c r="T124" s="24">
        <f>ROW(TblApuracao[[#Headers],[COMPETÊNCIA]])</f>
        <v>2</v>
      </c>
      <c r="U124" s="24" t="str">
        <f>TblApuracao[[#This Row],[COLABORADOR]]&amp;TblApuracao[[#This Row],[COMPETÊNCIA]]</f>
        <v/>
      </c>
      <c r="V124" s="24" t="str">
        <f>INDEX(TblApuracao[COMPETÊNCIA],1)</f>
        <v>2026-03</v>
      </c>
      <c r="W124" s="25">
        <f>SUMPRODUCT((TblApuracao[COLABORADOR]="Emanuelly Ribeiro de Aguiar")*(TblApuracao[COMPETÊNCIA]&lt;="2025-09")*(TblApuracao[SALDO MÊS (h:mm)]&gt;0)*TblApuracao[SALDO MÊS (h:mm)])</f>
        <v>0.6875</v>
      </c>
    </row>
    <row r="125" spans="1:23" ht="15" customHeight="1" x14ac:dyDescent="0.25">
      <c r="A125" s="18">
        <f t="shared" si="1"/>
        <v>123</v>
      </c>
      <c r="B125" s="34"/>
      <c r="C125" s="19" t="str">
        <f>IFERROR(
  INDEX(TblCadastro[SETOR],
    MATCH(TblApuracao[[#This Row],[COLABORADOR]],TblCadastro[NOME COMPLETO],0)
  ),
  "Não cadastrado"
)</f>
        <v>Não cadastrado</v>
      </c>
      <c r="D125" s="34"/>
      <c r="E12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5" s="18" t="str">
        <f>IFERROR(
  INDEX(TblCadastro[JORNADA ATUAL (h/dia)],
    MATCH(TblApuracao[[#This Row],[COLABORADOR]],TblCadastro[NOME COMPLETO],0)
  ),
  ""
)</f>
        <v/>
      </c>
      <c r="G125" s="18" t="str">
        <f>IFERROR(
  INDEX(TblCadastro[TRABALHA SÁB?],
    MATCH(TblApuracao[[#This Row],[COLABORADOR]],TblCadastro[NOME COMPLETO],0)
  ),
  ""
)</f>
        <v/>
      </c>
      <c r="H12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5" s="34"/>
      <c r="J125" s="34"/>
      <c r="K125" s="34"/>
      <c r="L125" s="21">
        <f>TblApuracao[[#This Row],[HRS EXTRAS (h:mm)]]-TblApuracao[[#This Row],[FALTAS/ATRASOS (h:mm)]]+TblApuracao[[#This Row],[AJUSTE MANUAL (h:mm)]]</f>
        <v>0</v>
      </c>
      <c r="M125" s="21">
        <f>SUMPRODUCT((TblApuracao[COLABORADOR]=TblApuracao[[#This Row],[COLABORADOR]])*(TblApuracao[COMPETÊNCIA]&lt;=TblApuracao[[#This Row],[COMPETÊNCIA]])*TblApuracao[HRS EXTRAS (h:mm)])</f>
        <v>0</v>
      </c>
      <c r="N125" s="21">
        <f>SUMPRODUCT((TblApuracao[COLABORADOR]=TblApuracao[[#This Row],[COLABORADOR]])*(TblApuracao[COMPETÊNCIA]&lt;=TblApuracao[[#This Row],[COMPETÊNCIA]])*TblApuracao[FALTAS/ATRASOS (h:mm)])</f>
        <v>0</v>
      </c>
      <c r="O125" s="21">
        <f>TblApuracao[[#This Row],[SALDO ANT. (h:mm)]]+TblApuracao[[#This Row],[SALDO MÊS (h:mm)]]</f>
        <v>0</v>
      </c>
      <c r="P125" s="24"/>
      <c r="Q125" s="24"/>
      <c r="R125" s="24"/>
      <c r="S125" s="24" t="str">
        <f>TblApuracao[[#This Row],[COLABORADOR]]&amp;TblApuracao[[#This Row],[COMPETÊNCIA]]</f>
        <v/>
      </c>
      <c r="T125" s="24">
        <f>ROW(TblApuracao[[#Headers],[COMPETÊNCIA]])</f>
        <v>2</v>
      </c>
      <c r="U125" s="24" t="str">
        <f>TblApuracao[[#This Row],[COLABORADOR]]&amp;TblApuracao[[#This Row],[COMPETÊNCIA]]</f>
        <v/>
      </c>
      <c r="V125" s="24" t="str">
        <f>INDEX(TblApuracao[COMPETÊNCIA],1)</f>
        <v>2026-03</v>
      </c>
      <c r="W125" s="25">
        <f>SUMPRODUCT((TblApuracao[COLABORADOR]="Emanuelly Ribeiro de Aguiar")*(TblApuracao[COMPETÊNCIA]&lt;="2025-09")*(TblApuracao[SALDO MÊS (h:mm)]&gt;0)*TblApuracao[SALDO MÊS (h:mm)])</f>
        <v>0.6875</v>
      </c>
    </row>
    <row r="126" spans="1:23" ht="15" customHeight="1" x14ac:dyDescent="0.25">
      <c r="A126" s="18">
        <f t="shared" si="1"/>
        <v>124</v>
      </c>
      <c r="B126" s="34"/>
      <c r="C126" s="19" t="str">
        <f>IFERROR(
  INDEX(TblCadastro[SETOR],
    MATCH(TblApuracao[[#This Row],[COLABORADOR]],TblCadastro[NOME COMPLETO],0)
  ),
  "Não cadastrado"
)</f>
        <v>Não cadastrado</v>
      </c>
      <c r="D126" s="34"/>
      <c r="E12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6" s="18" t="str">
        <f>IFERROR(
  INDEX(TblCadastro[JORNADA ATUAL (h/dia)],
    MATCH(TblApuracao[[#This Row],[COLABORADOR]],TblCadastro[NOME COMPLETO],0)
  ),
  ""
)</f>
        <v/>
      </c>
      <c r="G126" s="18" t="str">
        <f>IFERROR(
  INDEX(TblCadastro[TRABALHA SÁB?],
    MATCH(TblApuracao[[#This Row],[COLABORADOR]],TblCadastro[NOME COMPLETO],0)
  ),
  ""
)</f>
        <v/>
      </c>
      <c r="H12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6" s="34"/>
      <c r="J126" s="34"/>
      <c r="K126" s="34"/>
      <c r="L126" s="21">
        <f>TblApuracao[[#This Row],[HRS EXTRAS (h:mm)]]-TblApuracao[[#This Row],[FALTAS/ATRASOS (h:mm)]]+TblApuracao[[#This Row],[AJUSTE MANUAL (h:mm)]]</f>
        <v>0</v>
      </c>
      <c r="M126" s="21">
        <f>SUMPRODUCT((TblApuracao[COLABORADOR]=TblApuracao[[#This Row],[COLABORADOR]])*(TblApuracao[COMPETÊNCIA]&lt;=TblApuracao[[#This Row],[COMPETÊNCIA]])*TblApuracao[HRS EXTRAS (h:mm)])</f>
        <v>0</v>
      </c>
      <c r="N126" s="21">
        <f>SUMPRODUCT((TblApuracao[COLABORADOR]=TblApuracao[[#This Row],[COLABORADOR]])*(TblApuracao[COMPETÊNCIA]&lt;=TblApuracao[[#This Row],[COMPETÊNCIA]])*TblApuracao[FALTAS/ATRASOS (h:mm)])</f>
        <v>0</v>
      </c>
      <c r="O126" s="21">
        <f>TblApuracao[[#This Row],[SALDO ANT. (h:mm)]]+TblApuracao[[#This Row],[SALDO MÊS (h:mm)]]</f>
        <v>0</v>
      </c>
      <c r="P126" s="24"/>
      <c r="Q126" s="24"/>
      <c r="R126" s="24"/>
      <c r="S126" s="24" t="str">
        <f>TblApuracao[[#This Row],[COLABORADOR]]&amp;TblApuracao[[#This Row],[COMPETÊNCIA]]</f>
        <v/>
      </c>
      <c r="T126" s="24">
        <f>ROW(TblApuracao[[#Headers],[COMPETÊNCIA]])</f>
        <v>2</v>
      </c>
      <c r="U126" s="24" t="str">
        <f>TblApuracao[[#This Row],[COLABORADOR]]&amp;TblApuracao[[#This Row],[COMPETÊNCIA]]</f>
        <v/>
      </c>
      <c r="V126" s="24" t="str">
        <f>INDEX(TblApuracao[COMPETÊNCIA],1)</f>
        <v>2026-03</v>
      </c>
      <c r="W126" s="25">
        <f>SUMPRODUCT((TblApuracao[COLABORADOR]="Emanuelly Ribeiro de Aguiar")*(TblApuracao[COMPETÊNCIA]&lt;="2025-09")*(TblApuracao[SALDO MÊS (h:mm)]&gt;0)*TblApuracao[SALDO MÊS (h:mm)])</f>
        <v>0.6875</v>
      </c>
    </row>
    <row r="127" spans="1:23" ht="15" customHeight="1" x14ac:dyDescent="0.25">
      <c r="A127" s="18">
        <f t="shared" si="1"/>
        <v>125</v>
      </c>
      <c r="B127" s="34"/>
      <c r="C127" s="19" t="str">
        <f>IFERROR(
  INDEX(TblCadastro[SETOR],
    MATCH(TblApuracao[[#This Row],[COLABORADOR]],TblCadastro[NOME COMPLETO],0)
  ),
  "Não cadastrado"
)</f>
        <v>Não cadastrado</v>
      </c>
      <c r="D127" s="34"/>
      <c r="E12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7" s="18" t="str">
        <f>IFERROR(
  INDEX(TblCadastro[JORNADA ATUAL (h/dia)],
    MATCH(TblApuracao[[#This Row],[COLABORADOR]],TblCadastro[NOME COMPLETO],0)
  ),
  ""
)</f>
        <v/>
      </c>
      <c r="G127" s="18" t="str">
        <f>IFERROR(
  INDEX(TblCadastro[TRABALHA SÁB?],
    MATCH(TblApuracao[[#This Row],[COLABORADOR]],TblCadastro[NOME COMPLETO],0)
  ),
  ""
)</f>
        <v/>
      </c>
      <c r="H12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7" s="34"/>
      <c r="J127" s="34"/>
      <c r="K127" s="34"/>
      <c r="L127" s="21">
        <f>TblApuracao[[#This Row],[HRS EXTRAS (h:mm)]]-TblApuracao[[#This Row],[FALTAS/ATRASOS (h:mm)]]+TblApuracao[[#This Row],[AJUSTE MANUAL (h:mm)]]</f>
        <v>0</v>
      </c>
      <c r="M127" s="21">
        <f>SUMPRODUCT((TblApuracao[COLABORADOR]=TblApuracao[[#This Row],[COLABORADOR]])*(TblApuracao[COMPETÊNCIA]&lt;=TblApuracao[[#This Row],[COMPETÊNCIA]])*TblApuracao[HRS EXTRAS (h:mm)])</f>
        <v>0</v>
      </c>
      <c r="N127" s="21">
        <f>SUMPRODUCT((TblApuracao[COLABORADOR]=TblApuracao[[#This Row],[COLABORADOR]])*(TblApuracao[COMPETÊNCIA]&lt;=TblApuracao[[#This Row],[COMPETÊNCIA]])*TblApuracao[FALTAS/ATRASOS (h:mm)])</f>
        <v>0</v>
      </c>
      <c r="O127" s="21">
        <f>TblApuracao[[#This Row],[SALDO ANT. (h:mm)]]+TblApuracao[[#This Row],[SALDO MÊS (h:mm)]]</f>
        <v>0</v>
      </c>
      <c r="P127" s="24"/>
      <c r="Q127" s="24"/>
      <c r="R127" s="24"/>
      <c r="S127" s="24" t="str">
        <f>TblApuracao[[#This Row],[COLABORADOR]]&amp;TblApuracao[[#This Row],[COMPETÊNCIA]]</f>
        <v/>
      </c>
      <c r="T127" s="24">
        <f>ROW(TblApuracao[[#Headers],[COMPETÊNCIA]])</f>
        <v>2</v>
      </c>
      <c r="U127" s="24" t="str">
        <f>TblApuracao[[#This Row],[COLABORADOR]]&amp;TblApuracao[[#This Row],[COMPETÊNCIA]]</f>
        <v/>
      </c>
      <c r="V127" s="24" t="str">
        <f>INDEX(TblApuracao[COMPETÊNCIA],1)</f>
        <v>2026-03</v>
      </c>
      <c r="W127" s="25">
        <f>SUMPRODUCT((TblApuracao[COLABORADOR]="Emanuelly Ribeiro de Aguiar")*(TblApuracao[COMPETÊNCIA]&lt;="2025-09")*(TblApuracao[SALDO MÊS (h:mm)]&gt;0)*TblApuracao[SALDO MÊS (h:mm)])</f>
        <v>0.6875</v>
      </c>
    </row>
    <row r="128" spans="1:23" ht="15" customHeight="1" x14ac:dyDescent="0.25">
      <c r="A128" s="18">
        <f t="shared" si="1"/>
        <v>126</v>
      </c>
      <c r="B128" s="34"/>
      <c r="C128" s="19" t="str">
        <f>IFERROR(
  INDEX(TblCadastro[SETOR],
    MATCH(TblApuracao[[#This Row],[COLABORADOR]],TblCadastro[NOME COMPLETO],0)
  ),
  "Não cadastrado"
)</f>
        <v>Não cadastrado</v>
      </c>
      <c r="D128" s="34"/>
      <c r="E12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8" s="18" t="str">
        <f>IFERROR(
  INDEX(TblCadastro[JORNADA ATUAL (h/dia)],
    MATCH(TblApuracao[[#This Row],[COLABORADOR]],TblCadastro[NOME COMPLETO],0)
  ),
  ""
)</f>
        <v/>
      </c>
      <c r="G128" s="18" t="str">
        <f>IFERROR(
  INDEX(TblCadastro[TRABALHA SÁB?],
    MATCH(TblApuracao[[#This Row],[COLABORADOR]],TblCadastro[NOME COMPLETO],0)
  ),
  ""
)</f>
        <v/>
      </c>
      <c r="H12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8" s="34"/>
      <c r="J128" s="34"/>
      <c r="K128" s="34"/>
      <c r="L128" s="21">
        <f>TblApuracao[[#This Row],[HRS EXTRAS (h:mm)]]-TblApuracao[[#This Row],[FALTAS/ATRASOS (h:mm)]]+TblApuracao[[#This Row],[AJUSTE MANUAL (h:mm)]]</f>
        <v>0</v>
      </c>
      <c r="M128" s="21">
        <f>SUMPRODUCT((TblApuracao[COLABORADOR]=TblApuracao[[#This Row],[COLABORADOR]])*(TblApuracao[COMPETÊNCIA]&lt;=TblApuracao[[#This Row],[COMPETÊNCIA]])*TblApuracao[HRS EXTRAS (h:mm)])</f>
        <v>0</v>
      </c>
      <c r="N128" s="21">
        <f>SUMPRODUCT((TblApuracao[COLABORADOR]=TblApuracao[[#This Row],[COLABORADOR]])*(TblApuracao[COMPETÊNCIA]&lt;=TblApuracao[[#This Row],[COMPETÊNCIA]])*TblApuracao[FALTAS/ATRASOS (h:mm)])</f>
        <v>0</v>
      </c>
      <c r="O128" s="21">
        <f>TblApuracao[[#This Row],[SALDO ANT. (h:mm)]]+TblApuracao[[#This Row],[SALDO MÊS (h:mm)]]</f>
        <v>0</v>
      </c>
      <c r="P128" s="24"/>
      <c r="Q128" s="24"/>
      <c r="R128" s="24"/>
      <c r="S128" s="24" t="str">
        <f>TblApuracao[[#This Row],[COLABORADOR]]&amp;TblApuracao[[#This Row],[COMPETÊNCIA]]</f>
        <v/>
      </c>
      <c r="T128" s="24">
        <f>ROW(TblApuracao[[#Headers],[COMPETÊNCIA]])</f>
        <v>2</v>
      </c>
      <c r="U128" s="24" t="str">
        <f>TblApuracao[[#This Row],[COLABORADOR]]&amp;TblApuracao[[#This Row],[COMPETÊNCIA]]</f>
        <v/>
      </c>
      <c r="V128" s="24" t="str">
        <f>INDEX(TblApuracao[COMPETÊNCIA],1)</f>
        <v>2026-03</v>
      </c>
      <c r="W128" s="25">
        <f>SUMPRODUCT((TblApuracao[COLABORADOR]="Emanuelly Ribeiro de Aguiar")*(TblApuracao[COMPETÊNCIA]&lt;="2025-09")*(TblApuracao[SALDO MÊS (h:mm)]&gt;0)*TblApuracao[SALDO MÊS (h:mm)])</f>
        <v>0.6875</v>
      </c>
    </row>
    <row r="129" spans="1:23" ht="15" customHeight="1" x14ac:dyDescent="0.25">
      <c r="A129" s="18">
        <f t="shared" si="1"/>
        <v>127</v>
      </c>
      <c r="B129" s="34"/>
      <c r="C129" s="19" t="str">
        <f>IFERROR(
  INDEX(TblCadastro[SETOR],
    MATCH(TblApuracao[[#This Row],[COLABORADOR]],TblCadastro[NOME COMPLETO],0)
  ),
  "Não cadastrado"
)</f>
        <v>Não cadastrado</v>
      </c>
      <c r="D129" s="34"/>
      <c r="E12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9" s="18" t="str">
        <f>IFERROR(
  INDEX(TblCadastro[JORNADA ATUAL (h/dia)],
    MATCH(TblApuracao[[#This Row],[COLABORADOR]],TblCadastro[NOME COMPLETO],0)
  ),
  ""
)</f>
        <v/>
      </c>
      <c r="G129" s="18" t="str">
        <f>IFERROR(
  INDEX(TblCadastro[TRABALHA SÁB?],
    MATCH(TblApuracao[[#This Row],[COLABORADOR]],TblCadastro[NOME COMPLETO],0)
  ),
  ""
)</f>
        <v/>
      </c>
      <c r="H12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9" s="34"/>
      <c r="J129" s="34"/>
      <c r="K129" s="34"/>
      <c r="L129" s="21">
        <f>TblApuracao[[#This Row],[HRS EXTRAS (h:mm)]]-TblApuracao[[#This Row],[FALTAS/ATRASOS (h:mm)]]+TblApuracao[[#This Row],[AJUSTE MANUAL (h:mm)]]</f>
        <v>0</v>
      </c>
      <c r="M129" s="21">
        <f>SUMPRODUCT((TblApuracao[COLABORADOR]=TblApuracao[[#This Row],[COLABORADOR]])*(TblApuracao[COMPETÊNCIA]&lt;=TblApuracao[[#This Row],[COMPETÊNCIA]])*TblApuracao[HRS EXTRAS (h:mm)])</f>
        <v>0</v>
      </c>
      <c r="N129" s="21">
        <f>SUMPRODUCT((TblApuracao[COLABORADOR]=TblApuracao[[#This Row],[COLABORADOR]])*(TblApuracao[COMPETÊNCIA]&lt;=TblApuracao[[#This Row],[COMPETÊNCIA]])*TblApuracao[FALTAS/ATRASOS (h:mm)])</f>
        <v>0</v>
      </c>
      <c r="O129" s="21">
        <f>TblApuracao[[#This Row],[SALDO ANT. (h:mm)]]+TblApuracao[[#This Row],[SALDO MÊS (h:mm)]]</f>
        <v>0</v>
      </c>
      <c r="P129" s="24"/>
      <c r="Q129" s="24"/>
      <c r="R129" s="24"/>
      <c r="S129" s="24" t="str">
        <f>TblApuracao[[#This Row],[COLABORADOR]]&amp;TblApuracao[[#This Row],[COMPETÊNCIA]]</f>
        <v/>
      </c>
      <c r="T129" s="24">
        <f>ROW(TblApuracao[[#Headers],[COMPETÊNCIA]])</f>
        <v>2</v>
      </c>
      <c r="U129" s="24" t="str">
        <f>TblApuracao[[#This Row],[COLABORADOR]]&amp;TblApuracao[[#This Row],[COMPETÊNCIA]]</f>
        <v/>
      </c>
      <c r="V129" s="24" t="str">
        <f>INDEX(TblApuracao[COMPETÊNCIA],1)</f>
        <v>2026-03</v>
      </c>
      <c r="W129" s="25">
        <f>SUMPRODUCT((TblApuracao[COLABORADOR]="Emanuelly Ribeiro de Aguiar")*(TblApuracao[COMPETÊNCIA]&lt;="2025-09")*(TblApuracao[SALDO MÊS (h:mm)]&gt;0)*TblApuracao[SALDO MÊS (h:mm)])</f>
        <v>0.6875</v>
      </c>
    </row>
    <row r="130" spans="1:23" ht="15" customHeight="1" x14ac:dyDescent="0.25">
      <c r="A130" s="18">
        <f t="shared" si="1"/>
        <v>128</v>
      </c>
      <c r="B130" s="34"/>
      <c r="C130" s="19" t="str">
        <f>IFERROR(
  INDEX(TblCadastro[SETOR],
    MATCH(TblApuracao[[#This Row],[COLABORADOR]],TblCadastro[NOME COMPLETO],0)
  ),
  "Não cadastrado"
)</f>
        <v>Não cadastrado</v>
      </c>
      <c r="D130" s="34"/>
      <c r="E13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0" s="18" t="str">
        <f>IFERROR(
  INDEX(TblCadastro[JORNADA ATUAL (h/dia)],
    MATCH(TblApuracao[[#This Row],[COLABORADOR]],TblCadastro[NOME COMPLETO],0)
  ),
  ""
)</f>
        <v/>
      </c>
      <c r="G130" s="18" t="str">
        <f>IFERROR(
  INDEX(TblCadastro[TRABALHA SÁB?],
    MATCH(TblApuracao[[#This Row],[COLABORADOR]],TblCadastro[NOME COMPLETO],0)
  ),
  ""
)</f>
        <v/>
      </c>
      <c r="H13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0" s="34"/>
      <c r="J130" s="34"/>
      <c r="K130" s="34"/>
      <c r="L130" s="21">
        <f>TblApuracao[[#This Row],[HRS EXTRAS (h:mm)]]-TblApuracao[[#This Row],[FALTAS/ATRASOS (h:mm)]]+TblApuracao[[#This Row],[AJUSTE MANUAL (h:mm)]]</f>
        <v>0</v>
      </c>
      <c r="M130" s="21">
        <f>SUMPRODUCT((TblApuracao[COLABORADOR]=TblApuracao[[#This Row],[COLABORADOR]])*(TblApuracao[COMPETÊNCIA]&lt;=TblApuracao[[#This Row],[COMPETÊNCIA]])*TblApuracao[HRS EXTRAS (h:mm)])</f>
        <v>0</v>
      </c>
      <c r="N130" s="21">
        <f>SUMPRODUCT((TblApuracao[COLABORADOR]=TblApuracao[[#This Row],[COLABORADOR]])*(TblApuracao[COMPETÊNCIA]&lt;=TblApuracao[[#This Row],[COMPETÊNCIA]])*TblApuracao[FALTAS/ATRASOS (h:mm)])</f>
        <v>0</v>
      </c>
      <c r="O130" s="21">
        <f>TblApuracao[[#This Row],[SALDO ANT. (h:mm)]]+TblApuracao[[#This Row],[SALDO MÊS (h:mm)]]</f>
        <v>0</v>
      </c>
      <c r="P130" s="24"/>
      <c r="Q130" s="24"/>
      <c r="R130" s="24"/>
      <c r="S130" s="24" t="str">
        <f>TblApuracao[[#This Row],[COLABORADOR]]&amp;TblApuracao[[#This Row],[COMPETÊNCIA]]</f>
        <v/>
      </c>
      <c r="T130" s="24">
        <f>ROW(TblApuracao[[#Headers],[COMPETÊNCIA]])</f>
        <v>2</v>
      </c>
      <c r="U130" s="24" t="str">
        <f>TblApuracao[[#This Row],[COLABORADOR]]&amp;TblApuracao[[#This Row],[COMPETÊNCIA]]</f>
        <v/>
      </c>
      <c r="V130" s="24" t="str">
        <f>INDEX(TblApuracao[COMPETÊNCIA],1)</f>
        <v>2026-03</v>
      </c>
      <c r="W130" s="25">
        <f>SUMPRODUCT((TblApuracao[COLABORADOR]="Emanuelly Ribeiro de Aguiar")*(TblApuracao[COMPETÊNCIA]&lt;="2025-09")*(TblApuracao[SALDO MÊS (h:mm)]&gt;0)*TblApuracao[SALDO MÊS (h:mm)])</f>
        <v>0.6875</v>
      </c>
    </row>
    <row r="131" spans="1:23" ht="15" customHeight="1" x14ac:dyDescent="0.25">
      <c r="A131" s="18">
        <f t="shared" ref="A131:A194" si="2">ROW()-2</f>
        <v>129</v>
      </c>
      <c r="B131" s="34"/>
      <c r="C131" s="19" t="str">
        <f>IFERROR(
  INDEX(TblCadastro[SETOR],
    MATCH(TblApuracao[[#This Row],[COLABORADOR]],TblCadastro[NOME COMPLETO],0)
  ),
  "Não cadastrado"
)</f>
        <v>Não cadastrado</v>
      </c>
      <c r="D131" s="34"/>
      <c r="E13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1" s="18" t="str">
        <f>IFERROR(
  INDEX(TblCadastro[JORNADA ATUAL (h/dia)],
    MATCH(TblApuracao[[#This Row],[COLABORADOR]],TblCadastro[NOME COMPLETO],0)
  ),
  ""
)</f>
        <v/>
      </c>
      <c r="G131" s="18" t="str">
        <f>IFERROR(
  INDEX(TblCadastro[TRABALHA SÁB?],
    MATCH(TblApuracao[[#This Row],[COLABORADOR]],TblCadastro[NOME COMPLETO],0)
  ),
  ""
)</f>
        <v/>
      </c>
      <c r="H13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1" s="34"/>
      <c r="J131" s="34"/>
      <c r="K131" s="34"/>
      <c r="L131" s="21">
        <f>TblApuracao[[#This Row],[HRS EXTRAS (h:mm)]]-TblApuracao[[#This Row],[FALTAS/ATRASOS (h:mm)]]+TblApuracao[[#This Row],[AJUSTE MANUAL (h:mm)]]</f>
        <v>0</v>
      </c>
      <c r="M131" s="21">
        <f>SUMPRODUCT((TblApuracao[COLABORADOR]=TblApuracao[[#This Row],[COLABORADOR]])*(TblApuracao[COMPETÊNCIA]&lt;=TblApuracao[[#This Row],[COMPETÊNCIA]])*TblApuracao[HRS EXTRAS (h:mm)])</f>
        <v>0</v>
      </c>
      <c r="N131" s="21">
        <f>SUMPRODUCT((TblApuracao[COLABORADOR]=TblApuracao[[#This Row],[COLABORADOR]])*(TblApuracao[COMPETÊNCIA]&lt;=TblApuracao[[#This Row],[COMPETÊNCIA]])*TblApuracao[FALTAS/ATRASOS (h:mm)])</f>
        <v>0</v>
      </c>
      <c r="O131" s="21">
        <f>TblApuracao[[#This Row],[SALDO ANT. (h:mm)]]+TblApuracao[[#This Row],[SALDO MÊS (h:mm)]]</f>
        <v>0</v>
      </c>
      <c r="P131" s="24"/>
      <c r="Q131" s="24"/>
      <c r="R131" s="24"/>
      <c r="S131" s="24" t="str">
        <f>TblApuracao[[#This Row],[COLABORADOR]]&amp;TblApuracao[[#This Row],[COMPETÊNCIA]]</f>
        <v/>
      </c>
      <c r="T131" s="24">
        <f>ROW(TblApuracao[[#Headers],[COMPETÊNCIA]])</f>
        <v>2</v>
      </c>
      <c r="U131" s="24" t="str">
        <f>TblApuracao[[#This Row],[COLABORADOR]]&amp;TblApuracao[[#This Row],[COMPETÊNCIA]]</f>
        <v/>
      </c>
      <c r="V131" s="24" t="str">
        <f>INDEX(TblApuracao[COMPETÊNCIA],1)</f>
        <v>2026-03</v>
      </c>
      <c r="W131" s="25">
        <f>SUMPRODUCT((TblApuracao[COLABORADOR]="Emanuelly Ribeiro de Aguiar")*(TblApuracao[COMPETÊNCIA]&lt;="2025-09")*(TblApuracao[SALDO MÊS (h:mm)]&gt;0)*TblApuracao[SALDO MÊS (h:mm)])</f>
        <v>0.6875</v>
      </c>
    </row>
    <row r="132" spans="1:23" ht="15" customHeight="1" x14ac:dyDescent="0.25">
      <c r="A132" s="18">
        <f t="shared" si="2"/>
        <v>130</v>
      </c>
      <c r="B132" s="34"/>
      <c r="C132" s="19" t="str">
        <f>IFERROR(
  INDEX(TblCadastro[SETOR],
    MATCH(TblApuracao[[#This Row],[COLABORADOR]],TblCadastro[NOME COMPLETO],0)
  ),
  "Não cadastrado"
)</f>
        <v>Não cadastrado</v>
      </c>
      <c r="D132" s="34"/>
      <c r="E13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2" s="18" t="str">
        <f>IFERROR(
  INDEX(TblCadastro[JORNADA ATUAL (h/dia)],
    MATCH(TblApuracao[[#This Row],[COLABORADOR]],TblCadastro[NOME COMPLETO],0)
  ),
  ""
)</f>
        <v/>
      </c>
      <c r="G132" s="18" t="str">
        <f>IFERROR(
  INDEX(TblCadastro[TRABALHA SÁB?],
    MATCH(TblApuracao[[#This Row],[COLABORADOR]],TblCadastro[NOME COMPLETO],0)
  ),
  ""
)</f>
        <v/>
      </c>
      <c r="H13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2" s="34"/>
      <c r="J132" s="34"/>
      <c r="K132" s="34"/>
      <c r="L132" s="21">
        <f>TblApuracao[[#This Row],[HRS EXTRAS (h:mm)]]-TblApuracao[[#This Row],[FALTAS/ATRASOS (h:mm)]]+TblApuracao[[#This Row],[AJUSTE MANUAL (h:mm)]]</f>
        <v>0</v>
      </c>
      <c r="M132" s="21">
        <f>SUMPRODUCT((TblApuracao[COLABORADOR]=TblApuracao[[#This Row],[COLABORADOR]])*(TblApuracao[COMPETÊNCIA]&lt;=TblApuracao[[#This Row],[COMPETÊNCIA]])*TblApuracao[HRS EXTRAS (h:mm)])</f>
        <v>0</v>
      </c>
      <c r="N132" s="21">
        <f>SUMPRODUCT((TblApuracao[COLABORADOR]=TblApuracao[[#This Row],[COLABORADOR]])*(TblApuracao[COMPETÊNCIA]&lt;=TblApuracao[[#This Row],[COMPETÊNCIA]])*TblApuracao[FALTAS/ATRASOS (h:mm)])</f>
        <v>0</v>
      </c>
      <c r="O132" s="21">
        <f>TblApuracao[[#This Row],[SALDO ANT. (h:mm)]]+TblApuracao[[#This Row],[SALDO MÊS (h:mm)]]</f>
        <v>0</v>
      </c>
      <c r="P132" s="24"/>
      <c r="Q132" s="24"/>
      <c r="R132" s="24"/>
      <c r="S132" s="24" t="str">
        <f>TblApuracao[[#This Row],[COLABORADOR]]&amp;TblApuracao[[#This Row],[COMPETÊNCIA]]</f>
        <v/>
      </c>
      <c r="T132" s="24">
        <f>ROW(TblApuracao[[#Headers],[COMPETÊNCIA]])</f>
        <v>2</v>
      </c>
      <c r="U132" s="24" t="str">
        <f>TblApuracao[[#This Row],[COLABORADOR]]&amp;TblApuracao[[#This Row],[COMPETÊNCIA]]</f>
        <v/>
      </c>
      <c r="V132" s="24" t="str">
        <f>INDEX(TblApuracao[COMPETÊNCIA],1)</f>
        <v>2026-03</v>
      </c>
      <c r="W132" s="25">
        <f>SUMPRODUCT((TblApuracao[COLABORADOR]="Emanuelly Ribeiro de Aguiar")*(TblApuracao[COMPETÊNCIA]&lt;="2025-09")*(TblApuracao[SALDO MÊS (h:mm)]&gt;0)*TblApuracao[SALDO MÊS (h:mm)])</f>
        <v>0.6875</v>
      </c>
    </row>
    <row r="133" spans="1:23" ht="15" customHeight="1" x14ac:dyDescent="0.25">
      <c r="A133" s="18">
        <f t="shared" si="2"/>
        <v>131</v>
      </c>
      <c r="B133" s="34"/>
      <c r="C133" s="19" t="str">
        <f>IFERROR(
  INDEX(TblCadastro[SETOR],
    MATCH(TblApuracao[[#This Row],[COLABORADOR]],TblCadastro[NOME COMPLETO],0)
  ),
  "Não cadastrado"
)</f>
        <v>Não cadastrado</v>
      </c>
      <c r="D133" s="34"/>
      <c r="E13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3" s="18" t="str">
        <f>IFERROR(
  INDEX(TblCadastro[JORNADA ATUAL (h/dia)],
    MATCH(TblApuracao[[#This Row],[COLABORADOR]],TblCadastro[NOME COMPLETO],0)
  ),
  ""
)</f>
        <v/>
      </c>
      <c r="G133" s="18" t="str">
        <f>IFERROR(
  INDEX(TblCadastro[TRABALHA SÁB?],
    MATCH(TblApuracao[[#This Row],[COLABORADOR]],TblCadastro[NOME COMPLETO],0)
  ),
  ""
)</f>
        <v/>
      </c>
      <c r="H13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3" s="34"/>
      <c r="J133" s="34"/>
      <c r="K133" s="34"/>
      <c r="L133" s="21">
        <f>TblApuracao[[#This Row],[HRS EXTRAS (h:mm)]]-TblApuracao[[#This Row],[FALTAS/ATRASOS (h:mm)]]+TblApuracao[[#This Row],[AJUSTE MANUAL (h:mm)]]</f>
        <v>0</v>
      </c>
      <c r="M133" s="21">
        <f>SUMPRODUCT((TblApuracao[COLABORADOR]=TblApuracao[[#This Row],[COLABORADOR]])*(TblApuracao[COMPETÊNCIA]&lt;=TblApuracao[[#This Row],[COMPETÊNCIA]])*TblApuracao[HRS EXTRAS (h:mm)])</f>
        <v>0</v>
      </c>
      <c r="N133" s="21">
        <f>SUMPRODUCT((TblApuracao[COLABORADOR]=TblApuracao[[#This Row],[COLABORADOR]])*(TblApuracao[COMPETÊNCIA]&lt;=TblApuracao[[#This Row],[COMPETÊNCIA]])*TblApuracao[FALTAS/ATRASOS (h:mm)])</f>
        <v>0</v>
      </c>
      <c r="O133" s="21">
        <f>TblApuracao[[#This Row],[SALDO ANT. (h:mm)]]+TblApuracao[[#This Row],[SALDO MÊS (h:mm)]]</f>
        <v>0</v>
      </c>
      <c r="P133" s="24"/>
      <c r="Q133" s="24"/>
      <c r="R133" s="24"/>
      <c r="S133" s="24" t="str">
        <f>TblApuracao[[#This Row],[COLABORADOR]]&amp;TblApuracao[[#This Row],[COMPETÊNCIA]]</f>
        <v/>
      </c>
      <c r="T133" s="24">
        <f>ROW(TblApuracao[[#Headers],[COMPETÊNCIA]])</f>
        <v>2</v>
      </c>
      <c r="U133" s="24" t="str">
        <f>TblApuracao[[#This Row],[COLABORADOR]]&amp;TblApuracao[[#This Row],[COMPETÊNCIA]]</f>
        <v/>
      </c>
      <c r="V133" s="24" t="str">
        <f>INDEX(TblApuracao[COMPETÊNCIA],1)</f>
        <v>2026-03</v>
      </c>
      <c r="W133" s="25">
        <f>SUMPRODUCT((TblApuracao[COLABORADOR]="Emanuelly Ribeiro de Aguiar")*(TblApuracao[COMPETÊNCIA]&lt;="2025-09")*(TblApuracao[SALDO MÊS (h:mm)]&gt;0)*TblApuracao[SALDO MÊS (h:mm)])</f>
        <v>0.6875</v>
      </c>
    </row>
    <row r="134" spans="1:23" ht="15" customHeight="1" x14ac:dyDescent="0.25">
      <c r="A134" s="18">
        <f t="shared" si="2"/>
        <v>132</v>
      </c>
      <c r="B134" s="34"/>
      <c r="C134" s="19" t="str">
        <f>IFERROR(
  INDEX(TblCadastro[SETOR],
    MATCH(TblApuracao[[#This Row],[COLABORADOR]],TblCadastro[NOME COMPLETO],0)
  ),
  "Não cadastrado"
)</f>
        <v>Não cadastrado</v>
      </c>
      <c r="D134" s="34"/>
      <c r="E13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4" s="18" t="str">
        <f>IFERROR(
  INDEX(TblCadastro[JORNADA ATUAL (h/dia)],
    MATCH(TblApuracao[[#This Row],[COLABORADOR]],TblCadastro[NOME COMPLETO],0)
  ),
  ""
)</f>
        <v/>
      </c>
      <c r="G134" s="18" t="str">
        <f>IFERROR(
  INDEX(TblCadastro[TRABALHA SÁB?],
    MATCH(TblApuracao[[#This Row],[COLABORADOR]],TblCadastro[NOME COMPLETO],0)
  ),
  ""
)</f>
        <v/>
      </c>
      <c r="H13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4" s="34"/>
      <c r="J134" s="34"/>
      <c r="K134" s="34"/>
      <c r="L134" s="21">
        <f>TblApuracao[[#This Row],[HRS EXTRAS (h:mm)]]-TblApuracao[[#This Row],[FALTAS/ATRASOS (h:mm)]]+TblApuracao[[#This Row],[AJUSTE MANUAL (h:mm)]]</f>
        <v>0</v>
      </c>
      <c r="M134" s="21">
        <f>SUMPRODUCT((TblApuracao[COLABORADOR]=TblApuracao[[#This Row],[COLABORADOR]])*(TblApuracao[COMPETÊNCIA]&lt;=TblApuracao[[#This Row],[COMPETÊNCIA]])*TblApuracao[HRS EXTRAS (h:mm)])</f>
        <v>0</v>
      </c>
      <c r="N134" s="21">
        <f>SUMPRODUCT((TblApuracao[COLABORADOR]=TblApuracao[[#This Row],[COLABORADOR]])*(TblApuracao[COMPETÊNCIA]&lt;=TblApuracao[[#This Row],[COMPETÊNCIA]])*TblApuracao[FALTAS/ATRASOS (h:mm)])</f>
        <v>0</v>
      </c>
      <c r="O134" s="21">
        <f>TblApuracao[[#This Row],[SALDO ANT. (h:mm)]]+TblApuracao[[#This Row],[SALDO MÊS (h:mm)]]</f>
        <v>0</v>
      </c>
      <c r="P134" s="24"/>
      <c r="Q134" s="24"/>
      <c r="R134" s="24"/>
      <c r="S134" s="24" t="str">
        <f>TblApuracao[[#This Row],[COLABORADOR]]&amp;TblApuracao[[#This Row],[COMPETÊNCIA]]</f>
        <v/>
      </c>
      <c r="T134" s="24">
        <f>ROW(TblApuracao[[#Headers],[COMPETÊNCIA]])</f>
        <v>2</v>
      </c>
      <c r="U134" s="24" t="str">
        <f>TblApuracao[[#This Row],[COLABORADOR]]&amp;TblApuracao[[#This Row],[COMPETÊNCIA]]</f>
        <v/>
      </c>
      <c r="V134" s="24" t="str">
        <f>INDEX(TblApuracao[COMPETÊNCIA],1)</f>
        <v>2026-03</v>
      </c>
      <c r="W134" s="25">
        <f>SUMPRODUCT((TblApuracao[COLABORADOR]="Emanuelly Ribeiro de Aguiar")*(TblApuracao[COMPETÊNCIA]&lt;="2025-09")*(TblApuracao[SALDO MÊS (h:mm)]&gt;0)*TblApuracao[SALDO MÊS (h:mm)])</f>
        <v>0.6875</v>
      </c>
    </row>
    <row r="135" spans="1:23" ht="15" customHeight="1" x14ac:dyDescent="0.25">
      <c r="A135" s="18">
        <f t="shared" si="2"/>
        <v>133</v>
      </c>
      <c r="B135" s="34"/>
      <c r="C135" s="19" t="str">
        <f>IFERROR(
  INDEX(TblCadastro[SETOR],
    MATCH(TblApuracao[[#This Row],[COLABORADOR]],TblCadastro[NOME COMPLETO],0)
  ),
  "Não cadastrado"
)</f>
        <v>Não cadastrado</v>
      </c>
      <c r="D135" s="34"/>
      <c r="E13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5" s="18" t="str">
        <f>IFERROR(
  INDEX(TblCadastro[JORNADA ATUAL (h/dia)],
    MATCH(TblApuracao[[#This Row],[COLABORADOR]],TblCadastro[NOME COMPLETO],0)
  ),
  ""
)</f>
        <v/>
      </c>
      <c r="G135" s="18" t="str">
        <f>IFERROR(
  INDEX(TblCadastro[TRABALHA SÁB?],
    MATCH(TblApuracao[[#This Row],[COLABORADOR]],TblCadastro[NOME COMPLETO],0)
  ),
  ""
)</f>
        <v/>
      </c>
      <c r="H13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5" s="34"/>
      <c r="J135" s="34"/>
      <c r="K135" s="34"/>
      <c r="L135" s="21">
        <f>TblApuracao[[#This Row],[HRS EXTRAS (h:mm)]]-TblApuracao[[#This Row],[FALTAS/ATRASOS (h:mm)]]+TblApuracao[[#This Row],[AJUSTE MANUAL (h:mm)]]</f>
        <v>0</v>
      </c>
      <c r="M135" s="21">
        <f>SUMPRODUCT((TblApuracao[COLABORADOR]=TblApuracao[[#This Row],[COLABORADOR]])*(TblApuracao[COMPETÊNCIA]&lt;=TblApuracao[[#This Row],[COMPETÊNCIA]])*TblApuracao[HRS EXTRAS (h:mm)])</f>
        <v>0</v>
      </c>
      <c r="N135" s="21">
        <f>SUMPRODUCT((TblApuracao[COLABORADOR]=TblApuracao[[#This Row],[COLABORADOR]])*(TblApuracao[COMPETÊNCIA]&lt;=TblApuracao[[#This Row],[COMPETÊNCIA]])*TblApuracao[FALTAS/ATRASOS (h:mm)])</f>
        <v>0</v>
      </c>
      <c r="O135" s="21">
        <f>TblApuracao[[#This Row],[SALDO ANT. (h:mm)]]+TblApuracao[[#This Row],[SALDO MÊS (h:mm)]]</f>
        <v>0</v>
      </c>
      <c r="P135" s="24"/>
      <c r="Q135" s="24"/>
      <c r="R135" s="24"/>
      <c r="S135" s="24" t="str">
        <f>TblApuracao[[#This Row],[COLABORADOR]]&amp;TblApuracao[[#This Row],[COMPETÊNCIA]]</f>
        <v/>
      </c>
      <c r="T135" s="24">
        <f>ROW(TblApuracao[[#Headers],[COMPETÊNCIA]])</f>
        <v>2</v>
      </c>
      <c r="U135" s="24" t="str">
        <f>TblApuracao[[#This Row],[COLABORADOR]]&amp;TblApuracao[[#This Row],[COMPETÊNCIA]]</f>
        <v/>
      </c>
      <c r="V135" s="24" t="str">
        <f>INDEX(TblApuracao[COMPETÊNCIA],1)</f>
        <v>2026-03</v>
      </c>
      <c r="W135" s="25">
        <f>SUMPRODUCT((TblApuracao[COLABORADOR]="Emanuelly Ribeiro de Aguiar")*(TblApuracao[COMPETÊNCIA]&lt;="2025-09")*(TblApuracao[SALDO MÊS (h:mm)]&gt;0)*TblApuracao[SALDO MÊS (h:mm)])</f>
        <v>0.6875</v>
      </c>
    </row>
    <row r="136" spans="1:23" ht="15" customHeight="1" x14ac:dyDescent="0.25">
      <c r="A136" s="18">
        <f t="shared" si="2"/>
        <v>134</v>
      </c>
      <c r="B136" s="34"/>
      <c r="C136" s="19" t="str">
        <f>IFERROR(
  INDEX(TblCadastro[SETOR],
    MATCH(TblApuracao[[#This Row],[COLABORADOR]],TblCadastro[NOME COMPLETO],0)
  ),
  "Não cadastrado"
)</f>
        <v>Não cadastrado</v>
      </c>
      <c r="D136" s="34"/>
      <c r="E13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6" s="18" t="str">
        <f>IFERROR(
  INDEX(TblCadastro[JORNADA ATUAL (h/dia)],
    MATCH(TblApuracao[[#This Row],[COLABORADOR]],TblCadastro[NOME COMPLETO],0)
  ),
  ""
)</f>
        <v/>
      </c>
      <c r="G136" s="18" t="str">
        <f>IFERROR(
  INDEX(TblCadastro[TRABALHA SÁB?],
    MATCH(TblApuracao[[#This Row],[COLABORADOR]],TblCadastro[NOME COMPLETO],0)
  ),
  ""
)</f>
        <v/>
      </c>
      <c r="H13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6" s="34"/>
      <c r="J136" s="34"/>
      <c r="K136" s="34"/>
      <c r="L136" s="21">
        <f>TblApuracao[[#This Row],[HRS EXTRAS (h:mm)]]-TblApuracao[[#This Row],[FALTAS/ATRASOS (h:mm)]]+TblApuracao[[#This Row],[AJUSTE MANUAL (h:mm)]]</f>
        <v>0</v>
      </c>
      <c r="M136" s="21">
        <f>SUMPRODUCT((TblApuracao[COLABORADOR]=TblApuracao[[#This Row],[COLABORADOR]])*(TblApuracao[COMPETÊNCIA]&lt;=TblApuracao[[#This Row],[COMPETÊNCIA]])*TblApuracao[HRS EXTRAS (h:mm)])</f>
        <v>0</v>
      </c>
      <c r="N136" s="21">
        <f>SUMPRODUCT((TblApuracao[COLABORADOR]=TblApuracao[[#This Row],[COLABORADOR]])*(TblApuracao[COMPETÊNCIA]&lt;=TblApuracao[[#This Row],[COMPETÊNCIA]])*TblApuracao[FALTAS/ATRASOS (h:mm)])</f>
        <v>0</v>
      </c>
      <c r="O136" s="21">
        <f>TblApuracao[[#This Row],[SALDO ANT. (h:mm)]]+TblApuracao[[#This Row],[SALDO MÊS (h:mm)]]</f>
        <v>0</v>
      </c>
      <c r="P136" s="24"/>
      <c r="Q136" s="24"/>
      <c r="R136" s="24"/>
      <c r="S136" s="24" t="str">
        <f>TblApuracao[[#This Row],[COLABORADOR]]&amp;TblApuracao[[#This Row],[COMPETÊNCIA]]</f>
        <v/>
      </c>
      <c r="T136" s="24">
        <f>ROW(TblApuracao[[#Headers],[COMPETÊNCIA]])</f>
        <v>2</v>
      </c>
      <c r="U136" s="24" t="str">
        <f>TblApuracao[[#This Row],[COLABORADOR]]&amp;TblApuracao[[#This Row],[COMPETÊNCIA]]</f>
        <v/>
      </c>
      <c r="V136" s="24" t="str">
        <f>INDEX(TblApuracao[COMPETÊNCIA],1)</f>
        <v>2026-03</v>
      </c>
      <c r="W136" s="25">
        <f>SUMPRODUCT((TblApuracao[COLABORADOR]="Emanuelly Ribeiro de Aguiar")*(TblApuracao[COMPETÊNCIA]&lt;="2025-09")*(TblApuracao[SALDO MÊS (h:mm)]&gt;0)*TblApuracao[SALDO MÊS (h:mm)])</f>
        <v>0.6875</v>
      </c>
    </row>
    <row r="137" spans="1:23" ht="15" customHeight="1" x14ac:dyDescent="0.25">
      <c r="A137" s="18">
        <f t="shared" si="2"/>
        <v>135</v>
      </c>
      <c r="B137" s="34"/>
      <c r="C137" s="19" t="str">
        <f>IFERROR(
  INDEX(TblCadastro[SETOR],
    MATCH(TblApuracao[[#This Row],[COLABORADOR]],TblCadastro[NOME COMPLETO],0)
  ),
  "Não cadastrado"
)</f>
        <v>Não cadastrado</v>
      </c>
      <c r="D137" s="34"/>
      <c r="E13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7" s="18" t="str">
        <f>IFERROR(
  INDEX(TblCadastro[JORNADA ATUAL (h/dia)],
    MATCH(TblApuracao[[#This Row],[COLABORADOR]],TblCadastro[NOME COMPLETO],0)
  ),
  ""
)</f>
        <v/>
      </c>
      <c r="G137" s="18" t="str">
        <f>IFERROR(
  INDEX(TblCadastro[TRABALHA SÁB?],
    MATCH(TblApuracao[[#This Row],[COLABORADOR]],TblCadastro[NOME COMPLETO],0)
  ),
  ""
)</f>
        <v/>
      </c>
      <c r="H13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7" s="34"/>
      <c r="J137" s="34"/>
      <c r="K137" s="34"/>
      <c r="L137" s="21">
        <f>TblApuracao[[#This Row],[HRS EXTRAS (h:mm)]]-TblApuracao[[#This Row],[FALTAS/ATRASOS (h:mm)]]+TblApuracao[[#This Row],[AJUSTE MANUAL (h:mm)]]</f>
        <v>0</v>
      </c>
      <c r="M137" s="21">
        <f>SUMPRODUCT((TblApuracao[COLABORADOR]=TblApuracao[[#This Row],[COLABORADOR]])*(TblApuracao[COMPETÊNCIA]&lt;=TblApuracao[[#This Row],[COMPETÊNCIA]])*TblApuracao[HRS EXTRAS (h:mm)])</f>
        <v>0</v>
      </c>
      <c r="N137" s="21">
        <f>SUMPRODUCT((TblApuracao[COLABORADOR]=TblApuracao[[#This Row],[COLABORADOR]])*(TblApuracao[COMPETÊNCIA]&lt;=TblApuracao[[#This Row],[COMPETÊNCIA]])*TblApuracao[FALTAS/ATRASOS (h:mm)])</f>
        <v>0</v>
      </c>
      <c r="O137" s="21">
        <f>TblApuracao[[#This Row],[SALDO ANT. (h:mm)]]+TblApuracao[[#This Row],[SALDO MÊS (h:mm)]]</f>
        <v>0</v>
      </c>
      <c r="P137" s="24"/>
      <c r="Q137" s="24"/>
      <c r="R137" s="24"/>
      <c r="S137" s="24" t="str">
        <f>TblApuracao[[#This Row],[COLABORADOR]]&amp;TblApuracao[[#This Row],[COMPETÊNCIA]]</f>
        <v/>
      </c>
      <c r="T137" s="24">
        <f>ROW(TblApuracao[[#Headers],[COMPETÊNCIA]])</f>
        <v>2</v>
      </c>
      <c r="U137" s="24" t="str">
        <f>TblApuracao[[#This Row],[COLABORADOR]]&amp;TblApuracao[[#This Row],[COMPETÊNCIA]]</f>
        <v/>
      </c>
      <c r="V137" s="24" t="str">
        <f>INDEX(TblApuracao[COMPETÊNCIA],1)</f>
        <v>2026-03</v>
      </c>
      <c r="W137" s="25">
        <f>SUMPRODUCT((TblApuracao[COLABORADOR]="Emanuelly Ribeiro de Aguiar")*(TblApuracao[COMPETÊNCIA]&lt;="2025-09")*(TblApuracao[SALDO MÊS (h:mm)]&gt;0)*TblApuracao[SALDO MÊS (h:mm)])</f>
        <v>0.6875</v>
      </c>
    </row>
    <row r="138" spans="1:23" ht="15" customHeight="1" x14ac:dyDescent="0.25">
      <c r="A138" s="18">
        <f t="shared" si="2"/>
        <v>136</v>
      </c>
      <c r="B138" s="34"/>
      <c r="C138" s="19" t="str">
        <f>IFERROR(
  INDEX(TblCadastro[SETOR],
    MATCH(TblApuracao[[#This Row],[COLABORADOR]],TblCadastro[NOME COMPLETO],0)
  ),
  "Não cadastrado"
)</f>
        <v>Não cadastrado</v>
      </c>
      <c r="D138" s="34"/>
      <c r="E13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8" s="18" t="str">
        <f>IFERROR(
  INDEX(TblCadastro[JORNADA ATUAL (h/dia)],
    MATCH(TblApuracao[[#This Row],[COLABORADOR]],TblCadastro[NOME COMPLETO],0)
  ),
  ""
)</f>
        <v/>
      </c>
      <c r="G138" s="18" t="str">
        <f>IFERROR(
  INDEX(TblCadastro[TRABALHA SÁB?],
    MATCH(TblApuracao[[#This Row],[COLABORADOR]],TblCadastro[NOME COMPLETO],0)
  ),
  ""
)</f>
        <v/>
      </c>
      <c r="H13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8" s="34"/>
      <c r="J138" s="34"/>
      <c r="K138" s="34"/>
      <c r="L138" s="21">
        <f>TblApuracao[[#This Row],[HRS EXTRAS (h:mm)]]-TblApuracao[[#This Row],[FALTAS/ATRASOS (h:mm)]]+TblApuracao[[#This Row],[AJUSTE MANUAL (h:mm)]]</f>
        <v>0</v>
      </c>
      <c r="M138" s="21">
        <f>SUMPRODUCT((TblApuracao[COLABORADOR]=TblApuracao[[#This Row],[COLABORADOR]])*(TblApuracao[COMPETÊNCIA]&lt;=TblApuracao[[#This Row],[COMPETÊNCIA]])*TblApuracao[HRS EXTRAS (h:mm)])</f>
        <v>0</v>
      </c>
      <c r="N138" s="21">
        <f>SUMPRODUCT((TblApuracao[COLABORADOR]=TblApuracao[[#This Row],[COLABORADOR]])*(TblApuracao[COMPETÊNCIA]&lt;=TblApuracao[[#This Row],[COMPETÊNCIA]])*TblApuracao[FALTAS/ATRASOS (h:mm)])</f>
        <v>0</v>
      </c>
      <c r="O138" s="21">
        <f>TblApuracao[[#This Row],[SALDO ANT. (h:mm)]]+TblApuracao[[#This Row],[SALDO MÊS (h:mm)]]</f>
        <v>0</v>
      </c>
      <c r="P138" s="24"/>
      <c r="Q138" s="24"/>
      <c r="R138" s="24"/>
      <c r="S138" s="24" t="str">
        <f>TblApuracao[[#This Row],[COLABORADOR]]&amp;TblApuracao[[#This Row],[COMPETÊNCIA]]</f>
        <v/>
      </c>
      <c r="T138" s="24">
        <f>ROW(TblApuracao[[#Headers],[COMPETÊNCIA]])</f>
        <v>2</v>
      </c>
      <c r="U138" s="24" t="str">
        <f>TblApuracao[[#This Row],[COLABORADOR]]&amp;TblApuracao[[#This Row],[COMPETÊNCIA]]</f>
        <v/>
      </c>
      <c r="V138" s="24" t="str">
        <f>INDEX(TblApuracao[COMPETÊNCIA],1)</f>
        <v>2026-03</v>
      </c>
      <c r="W138" s="25">
        <f>SUMPRODUCT((TblApuracao[COLABORADOR]="Emanuelly Ribeiro de Aguiar")*(TblApuracao[COMPETÊNCIA]&lt;="2025-09")*(TblApuracao[SALDO MÊS (h:mm)]&gt;0)*TblApuracao[SALDO MÊS (h:mm)])</f>
        <v>0.6875</v>
      </c>
    </row>
    <row r="139" spans="1:23" ht="15" customHeight="1" x14ac:dyDescent="0.25">
      <c r="A139" s="18">
        <f t="shared" si="2"/>
        <v>137</v>
      </c>
      <c r="B139" s="34"/>
      <c r="C139" s="19" t="str">
        <f>IFERROR(
  INDEX(TblCadastro[SETOR],
    MATCH(TblApuracao[[#This Row],[COLABORADOR]],TblCadastro[NOME COMPLETO],0)
  ),
  "Não cadastrado"
)</f>
        <v>Não cadastrado</v>
      </c>
      <c r="D139" s="34"/>
      <c r="E13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9" s="18" t="str">
        <f>IFERROR(
  INDEX(TblCadastro[JORNADA ATUAL (h/dia)],
    MATCH(TblApuracao[[#This Row],[COLABORADOR]],TblCadastro[NOME COMPLETO],0)
  ),
  ""
)</f>
        <v/>
      </c>
      <c r="G139" s="18" t="str">
        <f>IFERROR(
  INDEX(TblCadastro[TRABALHA SÁB?],
    MATCH(TblApuracao[[#This Row],[COLABORADOR]],TblCadastro[NOME COMPLETO],0)
  ),
  ""
)</f>
        <v/>
      </c>
      <c r="H13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9" s="34"/>
      <c r="J139" s="34"/>
      <c r="K139" s="34"/>
      <c r="L139" s="21">
        <f>TblApuracao[[#This Row],[HRS EXTRAS (h:mm)]]-TblApuracao[[#This Row],[FALTAS/ATRASOS (h:mm)]]+TblApuracao[[#This Row],[AJUSTE MANUAL (h:mm)]]</f>
        <v>0</v>
      </c>
      <c r="M139" s="21">
        <f>SUMPRODUCT((TblApuracao[COLABORADOR]=TblApuracao[[#This Row],[COLABORADOR]])*(TblApuracao[COMPETÊNCIA]&lt;=TblApuracao[[#This Row],[COMPETÊNCIA]])*TblApuracao[HRS EXTRAS (h:mm)])</f>
        <v>0</v>
      </c>
      <c r="N139" s="21">
        <f>SUMPRODUCT((TblApuracao[COLABORADOR]=TblApuracao[[#This Row],[COLABORADOR]])*(TblApuracao[COMPETÊNCIA]&lt;=TblApuracao[[#This Row],[COMPETÊNCIA]])*TblApuracao[FALTAS/ATRASOS (h:mm)])</f>
        <v>0</v>
      </c>
      <c r="O139" s="21">
        <f>TblApuracao[[#This Row],[SALDO ANT. (h:mm)]]+TblApuracao[[#This Row],[SALDO MÊS (h:mm)]]</f>
        <v>0</v>
      </c>
      <c r="P139" s="24"/>
      <c r="Q139" s="24"/>
      <c r="R139" s="24"/>
      <c r="S139" s="24" t="str">
        <f>TblApuracao[[#This Row],[COLABORADOR]]&amp;TblApuracao[[#This Row],[COMPETÊNCIA]]</f>
        <v/>
      </c>
      <c r="T139" s="24">
        <f>ROW(TblApuracao[[#Headers],[COMPETÊNCIA]])</f>
        <v>2</v>
      </c>
      <c r="U139" s="24" t="str">
        <f>TblApuracao[[#This Row],[COLABORADOR]]&amp;TblApuracao[[#This Row],[COMPETÊNCIA]]</f>
        <v/>
      </c>
      <c r="V139" s="24" t="str">
        <f>INDEX(TblApuracao[COMPETÊNCIA],1)</f>
        <v>2026-03</v>
      </c>
      <c r="W139" s="25">
        <f>SUMPRODUCT((TblApuracao[COLABORADOR]="Emanuelly Ribeiro de Aguiar")*(TblApuracao[COMPETÊNCIA]&lt;="2025-09")*(TblApuracao[SALDO MÊS (h:mm)]&gt;0)*TblApuracao[SALDO MÊS (h:mm)])</f>
        <v>0.6875</v>
      </c>
    </row>
    <row r="140" spans="1:23" ht="15" customHeight="1" x14ac:dyDescent="0.25">
      <c r="A140" s="18">
        <f t="shared" si="2"/>
        <v>138</v>
      </c>
      <c r="B140" s="34"/>
      <c r="C140" s="19" t="str">
        <f>IFERROR(
  INDEX(TblCadastro[SETOR],
    MATCH(TblApuracao[[#This Row],[COLABORADOR]],TblCadastro[NOME COMPLETO],0)
  ),
  "Não cadastrado"
)</f>
        <v>Não cadastrado</v>
      </c>
      <c r="D140" s="34"/>
      <c r="E14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0" s="18" t="str">
        <f>IFERROR(
  INDEX(TblCadastro[JORNADA ATUAL (h/dia)],
    MATCH(TblApuracao[[#This Row],[COLABORADOR]],TblCadastro[NOME COMPLETO],0)
  ),
  ""
)</f>
        <v/>
      </c>
      <c r="G140" s="18" t="str">
        <f>IFERROR(
  INDEX(TblCadastro[TRABALHA SÁB?],
    MATCH(TblApuracao[[#This Row],[COLABORADOR]],TblCadastro[NOME COMPLETO],0)
  ),
  ""
)</f>
        <v/>
      </c>
      <c r="H14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0" s="34"/>
      <c r="J140" s="34"/>
      <c r="K140" s="34"/>
      <c r="L140" s="21">
        <f>TblApuracao[[#This Row],[HRS EXTRAS (h:mm)]]-TblApuracao[[#This Row],[FALTAS/ATRASOS (h:mm)]]+TblApuracao[[#This Row],[AJUSTE MANUAL (h:mm)]]</f>
        <v>0</v>
      </c>
      <c r="M140" s="21">
        <f>SUMPRODUCT((TblApuracao[COLABORADOR]=TblApuracao[[#This Row],[COLABORADOR]])*(TblApuracao[COMPETÊNCIA]&lt;=TblApuracao[[#This Row],[COMPETÊNCIA]])*TblApuracao[HRS EXTRAS (h:mm)])</f>
        <v>0</v>
      </c>
      <c r="N140" s="21">
        <f>SUMPRODUCT((TblApuracao[COLABORADOR]=TblApuracao[[#This Row],[COLABORADOR]])*(TblApuracao[COMPETÊNCIA]&lt;=TblApuracao[[#This Row],[COMPETÊNCIA]])*TblApuracao[FALTAS/ATRASOS (h:mm)])</f>
        <v>0</v>
      </c>
      <c r="O140" s="21">
        <f>TblApuracao[[#This Row],[SALDO ANT. (h:mm)]]+TblApuracao[[#This Row],[SALDO MÊS (h:mm)]]</f>
        <v>0</v>
      </c>
      <c r="P140" s="24"/>
      <c r="Q140" s="24"/>
      <c r="R140" s="24"/>
      <c r="S140" s="24" t="str">
        <f>TblApuracao[[#This Row],[COLABORADOR]]&amp;TblApuracao[[#This Row],[COMPETÊNCIA]]</f>
        <v/>
      </c>
      <c r="T140" s="24">
        <f>ROW(TblApuracao[[#Headers],[COMPETÊNCIA]])</f>
        <v>2</v>
      </c>
      <c r="U140" s="24" t="str">
        <f>TblApuracao[[#This Row],[COLABORADOR]]&amp;TblApuracao[[#This Row],[COMPETÊNCIA]]</f>
        <v/>
      </c>
      <c r="V140" s="24" t="str">
        <f>INDEX(TblApuracao[COMPETÊNCIA],1)</f>
        <v>2026-03</v>
      </c>
      <c r="W140" s="25">
        <f>SUMPRODUCT((TblApuracao[COLABORADOR]="Emanuelly Ribeiro de Aguiar")*(TblApuracao[COMPETÊNCIA]&lt;="2025-09")*(TblApuracao[SALDO MÊS (h:mm)]&gt;0)*TblApuracao[SALDO MÊS (h:mm)])</f>
        <v>0.6875</v>
      </c>
    </row>
    <row r="141" spans="1:23" ht="15" customHeight="1" x14ac:dyDescent="0.25">
      <c r="A141" s="18">
        <f t="shared" si="2"/>
        <v>139</v>
      </c>
      <c r="B141" s="34"/>
      <c r="C141" s="19" t="str">
        <f>IFERROR(
  INDEX(TblCadastro[SETOR],
    MATCH(TblApuracao[[#This Row],[COLABORADOR]],TblCadastro[NOME COMPLETO],0)
  ),
  "Não cadastrado"
)</f>
        <v>Não cadastrado</v>
      </c>
      <c r="D141" s="34"/>
      <c r="E14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1" s="18" t="str">
        <f>IFERROR(
  INDEX(TblCadastro[JORNADA ATUAL (h/dia)],
    MATCH(TblApuracao[[#This Row],[COLABORADOR]],TblCadastro[NOME COMPLETO],0)
  ),
  ""
)</f>
        <v/>
      </c>
      <c r="G141" s="18" t="str">
        <f>IFERROR(
  INDEX(TblCadastro[TRABALHA SÁB?],
    MATCH(TblApuracao[[#This Row],[COLABORADOR]],TblCadastro[NOME COMPLETO],0)
  ),
  ""
)</f>
        <v/>
      </c>
      <c r="H14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1" s="34"/>
      <c r="J141" s="34"/>
      <c r="K141" s="34"/>
      <c r="L141" s="21">
        <f>TblApuracao[[#This Row],[HRS EXTRAS (h:mm)]]-TblApuracao[[#This Row],[FALTAS/ATRASOS (h:mm)]]+TblApuracao[[#This Row],[AJUSTE MANUAL (h:mm)]]</f>
        <v>0</v>
      </c>
      <c r="M141" s="21">
        <f>SUMPRODUCT((TblApuracao[COLABORADOR]=TblApuracao[[#This Row],[COLABORADOR]])*(TblApuracao[COMPETÊNCIA]&lt;=TblApuracao[[#This Row],[COMPETÊNCIA]])*TblApuracao[HRS EXTRAS (h:mm)])</f>
        <v>0</v>
      </c>
      <c r="N141" s="21">
        <f>SUMPRODUCT((TblApuracao[COLABORADOR]=TblApuracao[[#This Row],[COLABORADOR]])*(TblApuracao[COMPETÊNCIA]&lt;=TblApuracao[[#This Row],[COMPETÊNCIA]])*TblApuracao[FALTAS/ATRASOS (h:mm)])</f>
        <v>0</v>
      </c>
      <c r="O141" s="21">
        <f>TblApuracao[[#This Row],[SALDO ANT. (h:mm)]]+TblApuracao[[#This Row],[SALDO MÊS (h:mm)]]</f>
        <v>0</v>
      </c>
      <c r="P141" s="24"/>
      <c r="Q141" s="24"/>
      <c r="R141" s="24"/>
      <c r="S141" s="24" t="str">
        <f>TblApuracao[[#This Row],[COLABORADOR]]&amp;TblApuracao[[#This Row],[COMPETÊNCIA]]</f>
        <v/>
      </c>
      <c r="T141" s="24">
        <f>ROW(TblApuracao[[#Headers],[COMPETÊNCIA]])</f>
        <v>2</v>
      </c>
      <c r="U141" s="24" t="str">
        <f>TblApuracao[[#This Row],[COLABORADOR]]&amp;TblApuracao[[#This Row],[COMPETÊNCIA]]</f>
        <v/>
      </c>
      <c r="V141" s="24" t="str">
        <f>INDEX(TblApuracao[COMPETÊNCIA],1)</f>
        <v>2026-03</v>
      </c>
      <c r="W141" s="25">
        <f>SUMPRODUCT((TblApuracao[COLABORADOR]="Emanuelly Ribeiro de Aguiar")*(TblApuracao[COMPETÊNCIA]&lt;="2025-09")*(TblApuracao[SALDO MÊS (h:mm)]&gt;0)*TblApuracao[SALDO MÊS (h:mm)])</f>
        <v>0.6875</v>
      </c>
    </row>
    <row r="142" spans="1:23" ht="15" customHeight="1" x14ac:dyDescent="0.25">
      <c r="A142" s="18">
        <f t="shared" si="2"/>
        <v>140</v>
      </c>
      <c r="B142" s="34"/>
      <c r="C142" s="19" t="str">
        <f>IFERROR(
  INDEX(TblCadastro[SETOR],
    MATCH(TblApuracao[[#This Row],[COLABORADOR]],TblCadastro[NOME COMPLETO],0)
  ),
  "Não cadastrado"
)</f>
        <v>Não cadastrado</v>
      </c>
      <c r="D142" s="34"/>
      <c r="E14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2" s="18" t="str">
        <f>IFERROR(
  INDEX(TblCadastro[JORNADA ATUAL (h/dia)],
    MATCH(TblApuracao[[#This Row],[COLABORADOR]],TblCadastro[NOME COMPLETO],0)
  ),
  ""
)</f>
        <v/>
      </c>
      <c r="G142" s="18" t="str">
        <f>IFERROR(
  INDEX(TblCadastro[TRABALHA SÁB?],
    MATCH(TblApuracao[[#This Row],[COLABORADOR]],TblCadastro[NOME COMPLETO],0)
  ),
  ""
)</f>
        <v/>
      </c>
      <c r="H14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2" s="34"/>
      <c r="J142" s="34"/>
      <c r="K142" s="34"/>
      <c r="L142" s="21">
        <f>TblApuracao[[#This Row],[HRS EXTRAS (h:mm)]]-TblApuracao[[#This Row],[FALTAS/ATRASOS (h:mm)]]+TblApuracao[[#This Row],[AJUSTE MANUAL (h:mm)]]</f>
        <v>0</v>
      </c>
      <c r="M142" s="21">
        <f>SUMPRODUCT((TblApuracao[COLABORADOR]=TblApuracao[[#This Row],[COLABORADOR]])*(TblApuracao[COMPETÊNCIA]&lt;=TblApuracao[[#This Row],[COMPETÊNCIA]])*TblApuracao[HRS EXTRAS (h:mm)])</f>
        <v>0</v>
      </c>
      <c r="N142" s="21">
        <f>SUMPRODUCT((TblApuracao[COLABORADOR]=TblApuracao[[#This Row],[COLABORADOR]])*(TblApuracao[COMPETÊNCIA]&lt;=TblApuracao[[#This Row],[COMPETÊNCIA]])*TblApuracao[FALTAS/ATRASOS (h:mm)])</f>
        <v>0</v>
      </c>
      <c r="O142" s="21">
        <f>TblApuracao[[#This Row],[SALDO ANT. (h:mm)]]+TblApuracao[[#This Row],[SALDO MÊS (h:mm)]]</f>
        <v>0</v>
      </c>
      <c r="P142" s="24"/>
      <c r="Q142" s="24"/>
      <c r="R142" s="24"/>
      <c r="S142" s="24" t="str">
        <f>TblApuracao[[#This Row],[COLABORADOR]]&amp;TblApuracao[[#This Row],[COMPETÊNCIA]]</f>
        <v/>
      </c>
      <c r="T142" s="24">
        <f>ROW(TblApuracao[[#Headers],[COMPETÊNCIA]])</f>
        <v>2</v>
      </c>
      <c r="U142" s="24" t="str">
        <f>TblApuracao[[#This Row],[COLABORADOR]]&amp;TblApuracao[[#This Row],[COMPETÊNCIA]]</f>
        <v/>
      </c>
      <c r="V142" s="24" t="str">
        <f>INDEX(TblApuracao[COMPETÊNCIA],1)</f>
        <v>2026-03</v>
      </c>
      <c r="W142" s="25">
        <f>SUMPRODUCT((TblApuracao[COLABORADOR]="Emanuelly Ribeiro de Aguiar")*(TblApuracao[COMPETÊNCIA]&lt;="2025-09")*(TblApuracao[SALDO MÊS (h:mm)]&gt;0)*TblApuracao[SALDO MÊS (h:mm)])</f>
        <v>0.6875</v>
      </c>
    </row>
    <row r="143" spans="1:23" ht="15" customHeight="1" x14ac:dyDescent="0.25">
      <c r="A143" s="18">
        <f t="shared" si="2"/>
        <v>141</v>
      </c>
      <c r="B143" s="34"/>
      <c r="C143" s="19" t="str">
        <f>IFERROR(
  INDEX(TblCadastro[SETOR],
    MATCH(TblApuracao[[#This Row],[COLABORADOR]],TblCadastro[NOME COMPLETO],0)
  ),
  "Não cadastrado"
)</f>
        <v>Não cadastrado</v>
      </c>
      <c r="D143" s="34"/>
      <c r="E14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3" s="18" t="str">
        <f>IFERROR(
  INDEX(TblCadastro[JORNADA ATUAL (h/dia)],
    MATCH(TblApuracao[[#This Row],[COLABORADOR]],TblCadastro[NOME COMPLETO],0)
  ),
  ""
)</f>
        <v/>
      </c>
      <c r="G143" s="18" t="str">
        <f>IFERROR(
  INDEX(TblCadastro[TRABALHA SÁB?],
    MATCH(TblApuracao[[#This Row],[COLABORADOR]],TblCadastro[NOME COMPLETO],0)
  ),
  ""
)</f>
        <v/>
      </c>
      <c r="H14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3" s="34"/>
      <c r="J143" s="34"/>
      <c r="K143" s="34"/>
      <c r="L143" s="21">
        <f>TblApuracao[[#This Row],[HRS EXTRAS (h:mm)]]-TblApuracao[[#This Row],[FALTAS/ATRASOS (h:mm)]]+TblApuracao[[#This Row],[AJUSTE MANUAL (h:mm)]]</f>
        <v>0</v>
      </c>
      <c r="M143" s="21">
        <f>SUMPRODUCT((TblApuracao[COLABORADOR]=TblApuracao[[#This Row],[COLABORADOR]])*(TblApuracao[COMPETÊNCIA]&lt;=TblApuracao[[#This Row],[COMPETÊNCIA]])*TblApuracao[HRS EXTRAS (h:mm)])</f>
        <v>0</v>
      </c>
      <c r="N143" s="21">
        <f>SUMPRODUCT((TblApuracao[COLABORADOR]=TblApuracao[[#This Row],[COLABORADOR]])*(TblApuracao[COMPETÊNCIA]&lt;=TblApuracao[[#This Row],[COMPETÊNCIA]])*TblApuracao[FALTAS/ATRASOS (h:mm)])</f>
        <v>0</v>
      </c>
      <c r="O143" s="21">
        <f>TblApuracao[[#This Row],[SALDO ANT. (h:mm)]]+TblApuracao[[#This Row],[SALDO MÊS (h:mm)]]</f>
        <v>0</v>
      </c>
      <c r="P143" s="24"/>
      <c r="Q143" s="24"/>
      <c r="R143" s="24"/>
      <c r="S143" s="24" t="str">
        <f>TblApuracao[[#This Row],[COLABORADOR]]&amp;TblApuracao[[#This Row],[COMPETÊNCIA]]</f>
        <v/>
      </c>
      <c r="T143" s="24">
        <f>ROW(TblApuracao[[#Headers],[COMPETÊNCIA]])</f>
        <v>2</v>
      </c>
      <c r="U143" s="24" t="str">
        <f>TblApuracao[[#This Row],[COLABORADOR]]&amp;TblApuracao[[#This Row],[COMPETÊNCIA]]</f>
        <v/>
      </c>
      <c r="V143" s="24" t="str">
        <f>INDEX(TblApuracao[COMPETÊNCIA],1)</f>
        <v>2026-03</v>
      </c>
      <c r="W143" s="25">
        <f>SUMPRODUCT((TblApuracao[COLABORADOR]="Emanuelly Ribeiro de Aguiar")*(TblApuracao[COMPETÊNCIA]&lt;="2025-09")*(TblApuracao[SALDO MÊS (h:mm)]&gt;0)*TblApuracao[SALDO MÊS (h:mm)])</f>
        <v>0.6875</v>
      </c>
    </row>
    <row r="144" spans="1:23" ht="15" customHeight="1" x14ac:dyDescent="0.25">
      <c r="A144" s="18">
        <f t="shared" si="2"/>
        <v>142</v>
      </c>
      <c r="B144" s="34"/>
      <c r="C144" s="19" t="str">
        <f>IFERROR(
  INDEX(TblCadastro[SETOR],
    MATCH(TblApuracao[[#This Row],[COLABORADOR]],TblCadastro[NOME COMPLETO],0)
  ),
  "Não cadastrado"
)</f>
        <v>Não cadastrado</v>
      </c>
      <c r="D144" s="34"/>
      <c r="E14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4" s="18" t="str">
        <f>IFERROR(
  INDEX(TblCadastro[JORNADA ATUAL (h/dia)],
    MATCH(TblApuracao[[#This Row],[COLABORADOR]],TblCadastro[NOME COMPLETO],0)
  ),
  ""
)</f>
        <v/>
      </c>
      <c r="G144" s="18" t="str">
        <f>IFERROR(
  INDEX(TblCadastro[TRABALHA SÁB?],
    MATCH(TblApuracao[[#This Row],[COLABORADOR]],TblCadastro[NOME COMPLETO],0)
  ),
  ""
)</f>
        <v/>
      </c>
      <c r="H14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4" s="34"/>
      <c r="J144" s="34"/>
      <c r="K144" s="34"/>
      <c r="L144" s="21">
        <f>TblApuracao[[#This Row],[HRS EXTRAS (h:mm)]]-TblApuracao[[#This Row],[FALTAS/ATRASOS (h:mm)]]+TblApuracao[[#This Row],[AJUSTE MANUAL (h:mm)]]</f>
        <v>0</v>
      </c>
      <c r="M144" s="21">
        <f>SUMPRODUCT((TblApuracao[COLABORADOR]=TblApuracao[[#This Row],[COLABORADOR]])*(TblApuracao[COMPETÊNCIA]&lt;=TblApuracao[[#This Row],[COMPETÊNCIA]])*TblApuracao[HRS EXTRAS (h:mm)])</f>
        <v>0</v>
      </c>
      <c r="N144" s="21">
        <f>SUMPRODUCT((TblApuracao[COLABORADOR]=TblApuracao[[#This Row],[COLABORADOR]])*(TblApuracao[COMPETÊNCIA]&lt;=TblApuracao[[#This Row],[COMPETÊNCIA]])*TblApuracao[FALTAS/ATRASOS (h:mm)])</f>
        <v>0</v>
      </c>
      <c r="O144" s="21">
        <f>TblApuracao[[#This Row],[SALDO ANT. (h:mm)]]+TblApuracao[[#This Row],[SALDO MÊS (h:mm)]]</f>
        <v>0</v>
      </c>
      <c r="P144" s="24"/>
      <c r="Q144" s="24"/>
      <c r="R144" s="24"/>
      <c r="S144" s="24" t="str">
        <f>TblApuracao[[#This Row],[COLABORADOR]]&amp;TblApuracao[[#This Row],[COMPETÊNCIA]]</f>
        <v/>
      </c>
      <c r="T144" s="24">
        <f>ROW(TblApuracao[[#Headers],[COMPETÊNCIA]])</f>
        <v>2</v>
      </c>
      <c r="U144" s="24" t="str">
        <f>TblApuracao[[#This Row],[COLABORADOR]]&amp;TblApuracao[[#This Row],[COMPETÊNCIA]]</f>
        <v/>
      </c>
      <c r="V144" s="24" t="str">
        <f>INDEX(TblApuracao[COMPETÊNCIA],1)</f>
        <v>2026-03</v>
      </c>
      <c r="W144" s="25">
        <f>SUMPRODUCT((TblApuracao[COLABORADOR]="Emanuelly Ribeiro de Aguiar")*(TblApuracao[COMPETÊNCIA]&lt;="2025-09")*(TblApuracao[SALDO MÊS (h:mm)]&gt;0)*TblApuracao[SALDO MÊS (h:mm)])</f>
        <v>0.6875</v>
      </c>
    </row>
    <row r="145" spans="1:23" ht="15" customHeight="1" x14ac:dyDescent="0.25">
      <c r="A145" s="18">
        <f t="shared" si="2"/>
        <v>143</v>
      </c>
      <c r="B145" s="34"/>
      <c r="C145" s="19" t="str">
        <f>IFERROR(
  INDEX(TblCadastro[SETOR],
    MATCH(TblApuracao[[#This Row],[COLABORADOR]],TblCadastro[NOME COMPLETO],0)
  ),
  "Não cadastrado"
)</f>
        <v>Não cadastrado</v>
      </c>
      <c r="D145" s="34"/>
      <c r="E14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5" s="18" t="str">
        <f>IFERROR(
  INDEX(TblCadastro[JORNADA ATUAL (h/dia)],
    MATCH(TblApuracao[[#This Row],[COLABORADOR]],TblCadastro[NOME COMPLETO],0)
  ),
  ""
)</f>
        <v/>
      </c>
      <c r="G145" s="18" t="str">
        <f>IFERROR(
  INDEX(TblCadastro[TRABALHA SÁB?],
    MATCH(TblApuracao[[#This Row],[COLABORADOR]],TblCadastro[NOME COMPLETO],0)
  ),
  ""
)</f>
        <v/>
      </c>
      <c r="H14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5" s="34"/>
      <c r="J145" s="34"/>
      <c r="K145" s="34"/>
      <c r="L145" s="21">
        <f>TblApuracao[[#This Row],[HRS EXTRAS (h:mm)]]-TblApuracao[[#This Row],[FALTAS/ATRASOS (h:mm)]]+TblApuracao[[#This Row],[AJUSTE MANUAL (h:mm)]]</f>
        <v>0</v>
      </c>
      <c r="M145" s="21">
        <f>SUMPRODUCT((TblApuracao[COLABORADOR]=TblApuracao[[#This Row],[COLABORADOR]])*(TblApuracao[COMPETÊNCIA]&lt;=TblApuracao[[#This Row],[COMPETÊNCIA]])*TblApuracao[HRS EXTRAS (h:mm)])</f>
        <v>0</v>
      </c>
      <c r="N145" s="21">
        <f>SUMPRODUCT((TblApuracao[COLABORADOR]=TblApuracao[[#This Row],[COLABORADOR]])*(TblApuracao[COMPETÊNCIA]&lt;=TblApuracao[[#This Row],[COMPETÊNCIA]])*TblApuracao[FALTAS/ATRASOS (h:mm)])</f>
        <v>0</v>
      </c>
      <c r="O145" s="21">
        <f>TblApuracao[[#This Row],[SALDO ANT. (h:mm)]]+TblApuracao[[#This Row],[SALDO MÊS (h:mm)]]</f>
        <v>0</v>
      </c>
      <c r="P145" s="24"/>
      <c r="Q145" s="24"/>
      <c r="R145" s="24"/>
      <c r="S145" s="24" t="str">
        <f>TblApuracao[[#This Row],[COLABORADOR]]&amp;TblApuracao[[#This Row],[COMPETÊNCIA]]</f>
        <v/>
      </c>
      <c r="T145" s="24">
        <f>ROW(TblApuracao[[#Headers],[COMPETÊNCIA]])</f>
        <v>2</v>
      </c>
      <c r="U145" s="24" t="str">
        <f>TblApuracao[[#This Row],[COLABORADOR]]&amp;TblApuracao[[#This Row],[COMPETÊNCIA]]</f>
        <v/>
      </c>
      <c r="V145" s="24" t="str">
        <f>INDEX(TblApuracao[COMPETÊNCIA],1)</f>
        <v>2026-03</v>
      </c>
      <c r="W145" s="25">
        <f>SUMPRODUCT((TblApuracao[COLABORADOR]="Emanuelly Ribeiro de Aguiar")*(TblApuracao[COMPETÊNCIA]&lt;="2025-09")*(TblApuracao[SALDO MÊS (h:mm)]&gt;0)*TblApuracao[SALDO MÊS (h:mm)])</f>
        <v>0.6875</v>
      </c>
    </row>
    <row r="146" spans="1:23" ht="15" customHeight="1" x14ac:dyDescent="0.25">
      <c r="A146" s="18">
        <f t="shared" si="2"/>
        <v>144</v>
      </c>
      <c r="B146" s="34"/>
      <c r="C146" s="19" t="str">
        <f>IFERROR(
  INDEX(TblCadastro[SETOR],
    MATCH(TblApuracao[[#This Row],[COLABORADOR]],TblCadastro[NOME COMPLETO],0)
  ),
  "Não cadastrado"
)</f>
        <v>Não cadastrado</v>
      </c>
      <c r="D146" s="34"/>
      <c r="E14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6" s="18" t="str">
        <f>IFERROR(
  INDEX(TblCadastro[JORNADA ATUAL (h/dia)],
    MATCH(TblApuracao[[#This Row],[COLABORADOR]],TblCadastro[NOME COMPLETO],0)
  ),
  ""
)</f>
        <v/>
      </c>
      <c r="G146" s="18" t="str">
        <f>IFERROR(
  INDEX(TblCadastro[TRABALHA SÁB?],
    MATCH(TblApuracao[[#This Row],[COLABORADOR]],TblCadastro[NOME COMPLETO],0)
  ),
  ""
)</f>
        <v/>
      </c>
      <c r="H14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6" s="34"/>
      <c r="J146" s="34"/>
      <c r="K146" s="34"/>
      <c r="L146" s="21">
        <f>TblApuracao[[#This Row],[HRS EXTRAS (h:mm)]]-TblApuracao[[#This Row],[FALTAS/ATRASOS (h:mm)]]+TblApuracao[[#This Row],[AJUSTE MANUAL (h:mm)]]</f>
        <v>0</v>
      </c>
      <c r="M146" s="21">
        <f>SUMPRODUCT((TblApuracao[COLABORADOR]=TblApuracao[[#This Row],[COLABORADOR]])*(TblApuracao[COMPETÊNCIA]&lt;=TblApuracao[[#This Row],[COMPETÊNCIA]])*TblApuracao[HRS EXTRAS (h:mm)])</f>
        <v>0</v>
      </c>
      <c r="N146" s="21">
        <f>SUMPRODUCT((TblApuracao[COLABORADOR]=TblApuracao[[#This Row],[COLABORADOR]])*(TblApuracao[COMPETÊNCIA]&lt;=TblApuracao[[#This Row],[COMPETÊNCIA]])*TblApuracao[FALTAS/ATRASOS (h:mm)])</f>
        <v>0</v>
      </c>
      <c r="O146" s="21">
        <f>TblApuracao[[#This Row],[SALDO ANT. (h:mm)]]+TblApuracao[[#This Row],[SALDO MÊS (h:mm)]]</f>
        <v>0</v>
      </c>
      <c r="P146" s="24"/>
      <c r="Q146" s="24"/>
      <c r="R146" s="24"/>
      <c r="S146" s="24" t="str">
        <f>TblApuracao[[#This Row],[COLABORADOR]]&amp;TblApuracao[[#This Row],[COMPETÊNCIA]]</f>
        <v/>
      </c>
      <c r="T146" s="24">
        <f>ROW(TblApuracao[[#Headers],[COMPETÊNCIA]])</f>
        <v>2</v>
      </c>
      <c r="U146" s="24" t="str">
        <f>TblApuracao[[#This Row],[COLABORADOR]]&amp;TblApuracao[[#This Row],[COMPETÊNCIA]]</f>
        <v/>
      </c>
      <c r="V146" s="24" t="str">
        <f>INDEX(TblApuracao[COMPETÊNCIA],1)</f>
        <v>2026-03</v>
      </c>
      <c r="W146" s="25">
        <f>SUMPRODUCT((TblApuracao[COLABORADOR]="Emanuelly Ribeiro de Aguiar")*(TblApuracao[COMPETÊNCIA]&lt;="2025-09")*(TblApuracao[SALDO MÊS (h:mm)]&gt;0)*TblApuracao[SALDO MÊS (h:mm)])</f>
        <v>0.6875</v>
      </c>
    </row>
    <row r="147" spans="1:23" ht="15" customHeight="1" x14ac:dyDescent="0.25">
      <c r="A147" s="18">
        <f t="shared" si="2"/>
        <v>145</v>
      </c>
      <c r="B147" s="34"/>
      <c r="C147" s="19" t="str">
        <f>IFERROR(
  INDEX(TblCadastro[SETOR],
    MATCH(TblApuracao[[#This Row],[COLABORADOR]],TblCadastro[NOME COMPLETO],0)
  ),
  "Não cadastrado"
)</f>
        <v>Não cadastrado</v>
      </c>
      <c r="D147" s="34"/>
      <c r="E14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7" s="18" t="str">
        <f>IFERROR(
  INDEX(TblCadastro[JORNADA ATUAL (h/dia)],
    MATCH(TblApuracao[[#This Row],[COLABORADOR]],TblCadastro[NOME COMPLETO],0)
  ),
  ""
)</f>
        <v/>
      </c>
      <c r="G147" s="18" t="str">
        <f>IFERROR(
  INDEX(TblCadastro[TRABALHA SÁB?],
    MATCH(TblApuracao[[#This Row],[COLABORADOR]],TblCadastro[NOME COMPLETO],0)
  ),
  ""
)</f>
        <v/>
      </c>
      <c r="H14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7" s="34"/>
      <c r="J147" s="34"/>
      <c r="K147" s="34"/>
      <c r="L147" s="21">
        <f>TblApuracao[[#This Row],[HRS EXTRAS (h:mm)]]-TblApuracao[[#This Row],[FALTAS/ATRASOS (h:mm)]]+TblApuracao[[#This Row],[AJUSTE MANUAL (h:mm)]]</f>
        <v>0</v>
      </c>
      <c r="M147" s="21">
        <f>SUMPRODUCT((TblApuracao[COLABORADOR]=TblApuracao[[#This Row],[COLABORADOR]])*(TblApuracao[COMPETÊNCIA]&lt;=TblApuracao[[#This Row],[COMPETÊNCIA]])*TblApuracao[HRS EXTRAS (h:mm)])</f>
        <v>0</v>
      </c>
      <c r="N147" s="21">
        <f>SUMPRODUCT((TblApuracao[COLABORADOR]=TblApuracao[[#This Row],[COLABORADOR]])*(TblApuracao[COMPETÊNCIA]&lt;=TblApuracao[[#This Row],[COMPETÊNCIA]])*TblApuracao[FALTAS/ATRASOS (h:mm)])</f>
        <v>0</v>
      </c>
      <c r="O147" s="21">
        <f>TblApuracao[[#This Row],[SALDO ANT. (h:mm)]]+TblApuracao[[#This Row],[SALDO MÊS (h:mm)]]</f>
        <v>0</v>
      </c>
      <c r="P147" s="24"/>
      <c r="Q147" s="24"/>
      <c r="R147" s="24"/>
      <c r="S147" s="24" t="str">
        <f>TblApuracao[[#This Row],[COLABORADOR]]&amp;TblApuracao[[#This Row],[COMPETÊNCIA]]</f>
        <v/>
      </c>
      <c r="T147" s="24">
        <f>ROW(TblApuracao[[#Headers],[COMPETÊNCIA]])</f>
        <v>2</v>
      </c>
      <c r="U147" s="24" t="str">
        <f>TblApuracao[[#This Row],[COLABORADOR]]&amp;TblApuracao[[#This Row],[COMPETÊNCIA]]</f>
        <v/>
      </c>
      <c r="V147" s="24" t="str">
        <f>INDEX(TblApuracao[COMPETÊNCIA],1)</f>
        <v>2026-03</v>
      </c>
      <c r="W147" s="25">
        <f>SUMPRODUCT((TblApuracao[COLABORADOR]="Emanuelly Ribeiro de Aguiar")*(TblApuracao[COMPETÊNCIA]&lt;="2025-09")*(TblApuracao[SALDO MÊS (h:mm)]&gt;0)*TblApuracao[SALDO MÊS (h:mm)])</f>
        <v>0.6875</v>
      </c>
    </row>
    <row r="148" spans="1:23" ht="15" customHeight="1" x14ac:dyDescent="0.25">
      <c r="A148" s="18">
        <f t="shared" si="2"/>
        <v>146</v>
      </c>
      <c r="B148" s="34"/>
      <c r="C148" s="19" t="str">
        <f>IFERROR(
  INDEX(TblCadastro[SETOR],
    MATCH(TblApuracao[[#This Row],[COLABORADOR]],TblCadastro[NOME COMPLETO],0)
  ),
  "Não cadastrado"
)</f>
        <v>Não cadastrado</v>
      </c>
      <c r="D148" s="34"/>
      <c r="E14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8" s="18" t="str">
        <f>IFERROR(
  INDEX(TblCadastro[JORNADA ATUAL (h/dia)],
    MATCH(TblApuracao[[#This Row],[COLABORADOR]],TblCadastro[NOME COMPLETO],0)
  ),
  ""
)</f>
        <v/>
      </c>
      <c r="G148" s="18" t="str">
        <f>IFERROR(
  INDEX(TblCadastro[TRABALHA SÁB?],
    MATCH(TblApuracao[[#This Row],[COLABORADOR]],TblCadastro[NOME COMPLETO],0)
  ),
  ""
)</f>
        <v/>
      </c>
      <c r="H14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8" s="34"/>
      <c r="J148" s="34"/>
      <c r="K148" s="34"/>
      <c r="L148" s="21">
        <f>TblApuracao[[#This Row],[HRS EXTRAS (h:mm)]]-TblApuracao[[#This Row],[FALTAS/ATRASOS (h:mm)]]+TblApuracao[[#This Row],[AJUSTE MANUAL (h:mm)]]</f>
        <v>0</v>
      </c>
      <c r="M148" s="21">
        <f>SUMPRODUCT((TblApuracao[COLABORADOR]=TblApuracao[[#This Row],[COLABORADOR]])*(TblApuracao[COMPETÊNCIA]&lt;=TblApuracao[[#This Row],[COMPETÊNCIA]])*TblApuracao[HRS EXTRAS (h:mm)])</f>
        <v>0</v>
      </c>
      <c r="N148" s="21">
        <f>SUMPRODUCT((TblApuracao[COLABORADOR]=TblApuracao[[#This Row],[COLABORADOR]])*(TblApuracao[COMPETÊNCIA]&lt;=TblApuracao[[#This Row],[COMPETÊNCIA]])*TblApuracao[FALTAS/ATRASOS (h:mm)])</f>
        <v>0</v>
      </c>
      <c r="O148" s="21">
        <f>TblApuracao[[#This Row],[SALDO ANT. (h:mm)]]+TblApuracao[[#This Row],[SALDO MÊS (h:mm)]]</f>
        <v>0</v>
      </c>
      <c r="P148" s="24"/>
      <c r="Q148" s="24"/>
      <c r="R148" s="24"/>
      <c r="S148" s="24" t="str">
        <f>TblApuracao[[#This Row],[COLABORADOR]]&amp;TblApuracao[[#This Row],[COMPETÊNCIA]]</f>
        <v/>
      </c>
      <c r="T148" s="24">
        <f>ROW(TblApuracao[[#Headers],[COMPETÊNCIA]])</f>
        <v>2</v>
      </c>
      <c r="U148" s="24" t="str">
        <f>TblApuracao[[#This Row],[COLABORADOR]]&amp;TblApuracao[[#This Row],[COMPETÊNCIA]]</f>
        <v/>
      </c>
      <c r="V148" s="24" t="str">
        <f>INDEX(TblApuracao[COMPETÊNCIA],1)</f>
        <v>2026-03</v>
      </c>
      <c r="W148" s="25">
        <f>SUMPRODUCT((TblApuracao[COLABORADOR]="Emanuelly Ribeiro de Aguiar")*(TblApuracao[COMPETÊNCIA]&lt;="2025-09")*(TblApuracao[SALDO MÊS (h:mm)]&gt;0)*TblApuracao[SALDO MÊS (h:mm)])</f>
        <v>0.6875</v>
      </c>
    </row>
    <row r="149" spans="1:23" ht="15" customHeight="1" x14ac:dyDescent="0.25">
      <c r="A149" s="18">
        <f t="shared" si="2"/>
        <v>147</v>
      </c>
      <c r="B149" s="34"/>
      <c r="C149" s="19" t="str">
        <f>IFERROR(
  INDEX(TblCadastro[SETOR],
    MATCH(TblApuracao[[#This Row],[COLABORADOR]],TblCadastro[NOME COMPLETO],0)
  ),
  "Não cadastrado"
)</f>
        <v>Não cadastrado</v>
      </c>
      <c r="D149" s="34"/>
      <c r="E14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9" s="18" t="str">
        <f>IFERROR(
  INDEX(TblCadastro[JORNADA ATUAL (h/dia)],
    MATCH(TblApuracao[[#This Row],[COLABORADOR]],TblCadastro[NOME COMPLETO],0)
  ),
  ""
)</f>
        <v/>
      </c>
      <c r="G149" s="18" t="str">
        <f>IFERROR(
  INDEX(TblCadastro[TRABALHA SÁB?],
    MATCH(TblApuracao[[#This Row],[COLABORADOR]],TblCadastro[NOME COMPLETO],0)
  ),
  ""
)</f>
        <v/>
      </c>
      <c r="H14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9" s="34"/>
      <c r="J149" s="34"/>
      <c r="K149" s="34"/>
      <c r="L149" s="21">
        <f>TblApuracao[[#This Row],[HRS EXTRAS (h:mm)]]-TblApuracao[[#This Row],[FALTAS/ATRASOS (h:mm)]]+TblApuracao[[#This Row],[AJUSTE MANUAL (h:mm)]]</f>
        <v>0</v>
      </c>
      <c r="M149" s="21">
        <f>SUMPRODUCT((TblApuracao[COLABORADOR]=TblApuracao[[#This Row],[COLABORADOR]])*(TblApuracao[COMPETÊNCIA]&lt;=TblApuracao[[#This Row],[COMPETÊNCIA]])*TblApuracao[HRS EXTRAS (h:mm)])</f>
        <v>0</v>
      </c>
      <c r="N149" s="21">
        <f>SUMPRODUCT((TblApuracao[COLABORADOR]=TblApuracao[[#This Row],[COLABORADOR]])*(TblApuracao[COMPETÊNCIA]&lt;=TblApuracao[[#This Row],[COMPETÊNCIA]])*TblApuracao[FALTAS/ATRASOS (h:mm)])</f>
        <v>0</v>
      </c>
      <c r="O149" s="21">
        <f>TblApuracao[[#This Row],[SALDO ANT. (h:mm)]]+TblApuracao[[#This Row],[SALDO MÊS (h:mm)]]</f>
        <v>0</v>
      </c>
      <c r="P149" s="24"/>
      <c r="Q149" s="24"/>
      <c r="R149" s="24"/>
      <c r="S149" s="24" t="str">
        <f>TblApuracao[[#This Row],[COLABORADOR]]&amp;TblApuracao[[#This Row],[COMPETÊNCIA]]</f>
        <v/>
      </c>
      <c r="T149" s="24">
        <f>ROW(TblApuracao[[#Headers],[COMPETÊNCIA]])</f>
        <v>2</v>
      </c>
      <c r="U149" s="24" t="str">
        <f>TblApuracao[[#This Row],[COLABORADOR]]&amp;TblApuracao[[#This Row],[COMPETÊNCIA]]</f>
        <v/>
      </c>
      <c r="V149" s="24" t="str">
        <f>INDEX(TblApuracao[COMPETÊNCIA],1)</f>
        <v>2026-03</v>
      </c>
      <c r="W149" s="25">
        <f>SUMPRODUCT((TblApuracao[COLABORADOR]="Emanuelly Ribeiro de Aguiar")*(TblApuracao[COMPETÊNCIA]&lt;="2025-09")*(TblApuracao[SALDO MÊS (h:mm)]&gt;0)*TblApuracao[SALDO MÊS (h:mm)])</f>
        <v>0.6875</v>
      </c>
    </row>
    <row r="150" spans="1:23" ht="15" customHeight="1" x14ac:dyDescent="0.25">
      <c r="A150" s="18">
        <f t="shared" si="2"/>
        <v>148</v>
      </c>
      <c r="B150" s="34"/>
      <c r="C150" s="19" t="str">
        <f>IFERROR(
  INDEX(TblCadastro[SETOR],
    MATCH(TblApuracao[[#This Row],[COLABORADOR]],TblCadastro[NOME COMPLETO],0)
  ),
  "Não cadastrado"
)</f>
        <v>Não cadastrado</v>
      </c>
      <c r="D150" s="34"/>
      <c r="E15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0" s="18" t="str">
        <f>IFERROR(
  INDEX(TblCadastro[JORNADA ATUAL (h/dia)],
    MATCH(TblApuracao[[#This Row],[COLABORADOR]],TblCadastro[NOME COMPLETO],0)
  ),
  ""
)</f>
        <v/>
      </c>
      <c r="G150" s="18" t="str">
        <f>IFERROR(
  INDEX(TblCadastro[TRABALHA SÁB?],
    MATCH(TblApuracao[[#This Row],[COLABORADOR]],TblCadastro[NOME COMPLETO],0)
  ),
  ""
)</f>
        <v/>
      </c>
      <c r="H15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0" s="34"/>
      <c r="J150" s="34"/>
      <c r="K150" s="34"/>
      <c r="L150" s="21">
        <f>TblApuracao[[#This Row],[HRS EXTRAS (h:mm)]]-TblApuracao[[#This Row],[FALTAS/ATRASOS (h:mm)]]+TblApuracao[[#This Row],[AJUSTE MANUAL (h:mm)]]</f>
        <v>0</v>
      </c>
      <c r="M150" s="21">
        <f>SUMPRODUCT((TblApuracao[COLABORADOR]=TblApuracao[[#This Row],[COLABORADOR]])*(TblApuracao[COMPETÊNCIA]&lt;=TblApuracao[[#This Row],[COMPETÊNCIA]])*TblApuracao[HRS EXTRAS (h:mm)])</f>
        <v>0</v>
      </c>
      <c r="N150" s="21">
        <f>SUMPRODUCT((TblApuracao[COLABORADOR]=TblApuracao[[#This Row],[COLABORADOR]])*(TblApuracao[COMPETÊNCIA]&lt;=TblApuracao[[#This Row],[COMPETÊNCIA]])*TblApuracao[FALTAS/ATRASOS (h:mm)])</f>
        <v>0</v>
      </c>
      <c r="O150" s="21">
        <f>TblApuracao[[#This Row],[SALDO ANT. (h:mm)]]+TblApuracao[[#This Row],[SALDO MÊS (h:mm)]]</f>
        <v>0</v>
      </c>
      <c r="P150" s="24"/>
      <c r="Q150" s="24"/>
      <c r="R150" s="24"/>
      <c r="S150" s="24" t="str">
        <f>TblApuracao[[#This Row],[COLABORADOR]]&amp;TblApuracao[[#This Row],[COMPETÊNCIA]]</f>
        <v/>
      </c>
      <c r="T150" s="24">
        <f>ROW(TblApuracao[[#Headers],[COMPETÊNCIA]])</f>
        <v>2</v>
      </c>
      <c r="U150" s="24" t="str">
        <f>TblApuracao[[#This Row],[COLABORADOR]]&amp;TblApuracao[[#This Row],[COMPETÊNCIA]]</f>
        <v/>
      </c>
      <c r="V150" s="24" t="str">
        <f>INDEX(TblApuracao[COMPETÊNCIA],1)</f>
        <v>2026-03</v>
      </c>
      <c r="W150" s="25">
        <f>SUMPRODUCT((TblApuracao[COLABORADOR]="Emanuelly Ribeiro de Aguiar")*(TblApuracao[COMPETÊNCIA]&lt;="2025-09")*(TblApuracao[SALDO MÊS (h:mm)]&gt;0)*TblApuracao[SALDO MÊS (h:mm)])</f>
        <v>0.6875</v>
      </c>
    </row>
    <row r="151" spans="1:23" ht="15" customHeight="1" x14ac:dyDescent="0.25">
      <c r="A151" s="18">
        <f t="shared" si="2"/>
        <v>149</v>
      </c>
      <c r="B151" s="34"/>
      <c r="C151" s="19" t="str">
        <f>IFERROR(
  INDEX(TblCadastro[SETOR],
    MATCH(TblApuracao[[#This Row],[COLABORADOR]],TblCadastro[NOME COMPLETO],0)
  ),
  "Não cadastrado"
)</f>
        <v>Não cadastrado</v>
      </c>
      <c r="D151" s="34"/>
      <c r="E15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1" s="18" t="str">
        <f>IFERROR(
  INDEX(TblCadastro[JORNADA ATUAL (h/dia)],
    MATCH(TblApuracao[[#This Row],[COLABORADOR]],TblCadastro[NOME COMPLETO],0)
  ),
  ""
)</f>
        <v/>
      </c>
      <c r="G151" s="18" t="str">
        <f>IFERROR(
  INDEX(TblCadastro[TRABALHA SÁB?],
    MATCH(TblApuracao[[#This Row],[COLABORADOR]],TblCadastro[NOME COMPLETO],0)
  ),
  ""
)</f>
        <v/>
      </c>
      <c r="H15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1" s="34"/>
      <c r="J151" s="34"/>
      <c r="K151" s="34"/>
      <c r="L151" s="21">
        <f>TblApuracao[[#This Row],[HRS EXTRAS (h:mm)]]-TblApuracao[[#This Row],[FALTAS/ATRASOS (h:mm)]]+TblApuracao[[#This Row],[AJUSTE MANUAL (h:mm)]]</f>
        <v>0</v>
      </c>
      <c r="M151" s="21">
        <f>SUMPRODUCT((TblApuracao[COLABORADOR]=TblApuracao[[#This Row],[COLABORADOR]])*(TblApuracao[COMPETÊNCIA]&lt;=TblApuracao[[#This Row],[COMPETÊNCIA]])*TblApuracao[HRS EXTRAS (h:mm)])</f>
        <v>0</v>
      </c>
      <c r="N151" s="21">
        <f>SUMPRODUCT((TblApuracao[COLABORADOR]=TblApuracao[[#This Row],[COLABORADOR]])*(TblApuracao[COMPETÊNCIA]&lt;=TblApuracao[[#This Row],[COMPETÊNCIA]])*TblApuracao[FALTAS/ATRASOS (h:mm)])</f>
        <v>0</v>
      </c>
      <c r="O151" s="21">
        <f>TblApuracao[[#This Row],[SALDO ANT. (h:mm)]]+TblApuracao[[#This Row],[SALDO MÊS (h:mm)]]</f>
        <v>0</v>
      </c>
      <c r="P151" s="24"/>
      <c r="Q151" s="24"/>
      <c r="R151" s="24"/>
      <c r="S151" s="24" t="str">
        <f>TblApuracao[[#This Row],[COLABORADOR]]&amp;TblApuracao[[#This Row],[COMPETÊNCIA]]</f>
        <v/>
      </c>
      <c r="T151" s="24">
        <f>ROW(TblApuracao[[#Headers],[COMPETÊNCIA]])</f>
        <v>2</v>
      </c>
      <c r="U151" s="24" t="str">
        <f>TblApuracao[[#This Row],[COLABORADOR]]&amp;TblApuracao[[#This Row],[COMPETÊNCIA]]</f>
        <v/>
      </c>
      <c r="V151" s="24" t="str">
        <f>INDEX(TblApuracao[COMPETÊNCIA],1)</f>
        <v>2026-03</v>
      </c>
      <c r="W151" s="25">
        <f>SUMPRODUCT((TblApuracao[COLABORADOR]="Emanuelly Ribeiro de Aguiar")*(TblApuracao[COMPETÊNCIA]&lt;="2025-09")*(TblApuracao[SALDO MÊS (h:mm)]&gt;0)*TblApuracao[SALDO MÊS (h:mm)])</f>
        <v>0.6875</v>
      </c>
    </row>
    <row r="152" spans="1:23" ht="15" customHeight="1" x14ac:dyDescent="0.25">
      <c r="A152" s="18">
        <f t="shared" si="2"/>
        <v>150</v>
      </c>
      <c r="B152" s="34"/>
      <c r="C152" s="19" t="str">
        <f>IFERROR(
  INDEX(TblCadastro[SETOR],
    MATCH(TblApuracao[[#This Row],[COLABORADOR]],TblCadastro[NOME COMPLETO],0)
  ),
  "Não cadastrado"
)</f>
        <v>Não cadastrado</v>
      </c>
      <c r="D152" s="34"/>
      <c r="E15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2" s="18" t="str">
        <f>IFERROR(
  INDEX(TblCadastro[JORNADA ATUAL (h/dia)],
    MATCH(TblApuracao[[#This Row],[COLABORADOR]],TblCadastro[NOME COMPLETO],0)
  ),
  ""
)</f>
        <v/>
      </c>
      <c r="G152" s="18" t="str">
        <f>IFERROR(
  INDEX(TblCadastro[TRABALHA SÁB?],
    MATCH(TblApuracao[[#This Row],[COLABORADOR]],TblCadastro[NOME COMPLETO],0)
  ),
  ""
)</f>
        <v/>
      </c>
      <c r="H15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2" s="34"/>
      <c r="J152" s="34"/>
      <c r="K152" s="34"/>
      <c r="L152" s="21">
        <f>TblApuracao[[#This Row],[HRS EXTRAS (h:mm)]]-TblApuracao[[#This Row],[FALTAS/ATRASOS (h:mm)]]+TblApuracao[[#This Row],[AJUSTE MANUAL (h:mm)]]</f>
        <v>0</v>
      </c>
      <c r="M152" s="21">
        <f>SUMPRODUCT((TblApuracao[COLABORADOR]=TblApuracao[[#This Row],[COLABORADOR]])*(TblApuracao[COMPETÊNCIA]&lt;=TblApuracao[[#This Row],[COMPETÊNCIA]])*TblApuracao[HRS EXTRAS (h:mm)])</f>
        <v>0</v>
      </c>
      <c r="N152" s="21">
        <f>SUMPRODUCT((TblApuracao[COLABORADOR]=TblApuracao[[#This Row],[COLABORADOR]])*(TblApuracao[COMPETÊNCIA]&lt;=TblApuracao[[#This Row],[COMPETÊNCIA]])*TblApuracao[FALTAS/ATRASOS (h:mm)])</f>
        <v>0</v>
      </c>
      <c r="O152" s="21">
        <f>TblApuracao[[#This Row],[SALDO ANT. (h:mm)]]+TblApuracao[[#This Row],[SALDO MÊS (h:mm)]]</f>
        <v>0</v>
      </c>
      <c r="P152" s="24"/>
      <c r="Q152" s="24"/>
      <c r="R152" s="24"/>
      <c r="S152" s="24" t="str">
        <f>TblApuracao[[#This Row],[COLABORADOR]]&amp;TblApuracao[[#This Row],[COMPETÊNCIA]]</f>
        <v/>
      </c>
      <c r="T152" s="24">
        <f>ROW(TblApuracao[[#Headers],[COMPETÊNCIA]])</f>
        <v>2</v>
      </c>
      <c r="U152" s="24" t="str">
        <f>TblApuracao[[#This Row],[COLABORADOR]]&amp;TblApuracao[[#This Row],[COMPETÊNCIA]]</f>
        <v/>
      </c>
      <c r="V152" s="24" t="str">
        <f>INDEX(TblApuracao[COMPETÊNCIA],1)</f>
        <v>2026-03</v>
      </c>
      <c r="W152" s="25">
        <f>SUMPRODUCT((TblApuracao[COLABORADOR]="Emanuelly Ribeiro de Aguiar")*(TblApuracao[COMPETÊNCIA]&lt;="2025-09")*(TblApuracao[SALDO MÊS (h:mm)]&gt;0)*TblApuracao[SALDO MÊS (h:mm)])</f>
        <v>0.6875</v>
      </c>
    </row>
    <row r="153" spans="1:23" ht="15" customHeight="1" x14ac:dyDescent="0.25">
      <c r="A153" s="18">
        <f t="shared" si="2"/>
        <v>151</v>
      </c>
      <c r="B153" s="34"/>
      <c r="C153" s="19" t="str">
        <f>IFERROR(
  INDEX(TblCadastro[SETOR],
    MATCH(TblApuracao[[#This Row],[COLABORADOR]],TblCadastro[NOME COMPLETO],0)
  ),
  "Não cadastrado"
)</f>
        <v>Não cadastrado</v>
      </c>
      <c r="D153" s="34"/>
      <c r="E15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3" s="18" t="str">
        <f>IFERROR(
  INDEX(TblCadastro[JORNADA ATUAL (h/dia)],
    MATCH(TblApuracao[[#This Row],[COLABORADOR]],TblCadastro[NOME COMPLETO],0)
  ),
  ""
)</f>
        <v/>
      </c>
      <c r="G153" s="18" t="str">
        <f>IFERROR(
  INDEX(TblCadastro[TRABALHA SÁB?],
    MATCH(TblApuracao[[#This Row],[COLABORADOR]],TblCadastro[NOME COMPLETO],0)
  ),
  ""
)</f>
        <v/>
      </c>
      <c r="H15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3" s="34"/>
      <c r="J153" s="34"/>
      <c r="K153" s="34"/>
      <c r="L153" s="21">
        <f>TblApuracao[[#This Row],[HRS EXTRAS (h:mm)]]-TblApuracao[[#This Row],[FALTAS/ATRASOS (h:mm)]]+TblApuracao[[#This Row],[AJUSTE MANUAL (h:mm)]]</f>
        <v>0</v>
      </c>
      <c r="M153" s="21">
        <f>SUMPRODUCT((TblApuracao[COLABORADOR]=TblApuracao[[#This Row],[COLABORADOR]])*(TblApuracao[COMPETÊNCIA]&lt;=TblApuracao[[#This Row],[COMPETÊNCIA]])*TblApuracao[HRS EXTRAS (h:mm)])</f>
        <v>0</v>
      </c>
      <c r="N153" s="21">
        <f>SUMPRODUCT((TblApuracao[COLABORADOR]=TblApuracao[[#This Row],[COLABORADOR]])*(TblApuracao[COMPETÊNCIA]&lt;=TblApuracao[[#This Row],[COMPETÊNCIA]])*TblApuracao[FALTAS/ATRASOS (h:mm)])</f>
        <v>0</v>
      </c>
      <c r="O153" s="21">
        <f>TblApuracao[[#This Row],[SALDO ANT. (h:mm)]]+TblApuracao[[#This Row],[SALDO MÊS (h:mm)]]</f>
        <v>0</v>
      </c>
      <c r="P153" s="24"/>
      <c r="Q153" s="24"/>
      <c r="R153" s="24"/>
      <c r="S153" s="24" t="str">
        <f>TblApuracao[[#This Row],[COLABORADOR]]&amp;TblApuracao[[#This Row],[COMPETÊNCIA]]</f>
        <v/>
      </c>
      <c r="T153" s="24">
        <f>ROW(TblApuracao[[#Headers],[COMPETÊNCIA]])</f>
        <v>2</v>
      </c>
      <c r="U153" s="24" t="str">
        <f>TblApuracao[[#This Row],[COLABORADOR]]&amp;TblApuracao[[#This Row],[COMPETÊNCIA]]</f>
        <v/>
      </c>
      <c r="V153" s="24" t="str">
        <f>INDEX(TblApuracao[COMPETÊNCIA],1)</f>
        <v>2026-03</v>
      </c>
      <c r="W153" s="25">
        <f>SUMPRODUCT((TblApuracao[COLABORADOR]="Emanuelly Ribeiro de Aguiar")*(TblApuracao[COMPETÊNCIA]&lt;="2025-09")*(TblApuracao[SALDO MÊS (h:mm)]&gt;0)*TblApuracao[SALDO MÊS (h:mm)])</f>
        <v>0.6875</v>
      </c>
    </row>
    <row r="154" spans="1:23" ht="15" customHeight="1" x14ac:dyDescent="0.25">
      <c r="A154" s="18">
        <f t="shared" si="2"/>
        <v>152</v>
      </c>
      <c r="B154" s="34"/>
      <c r="C154" s="19" t="str">
        <f>IFERROR(
  INDEX(TblCadastro[SETOR],
    MATCH(TblApuracao[[#This Row],[COLABORADOR]],TblCadastro[NOME COMPLETO],0)
  ),
  "Não cadastrado"
)</f>
        <v>Não cadastrado</v>
      </c>
      <c r="D154" s="34"/>
      <c r="E15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4" s="18" t="str">
        <f>IFERROR(
  INDEX(TblCadastro[JORNADA ATUAL (h/dia)],
    MATCH(TblApuracao[[#This Row],[COLABORADOR]],TblCadastro[NOME COMPLETO],0)
  ),
  ""
)</f>
        <v/>
      </c>
      <c r="G154" s="18" t="str">
        <f>IFERROR(
  INDEX(TblCadastro[TRABALHA SÁB?],
    MATCH(TblApuracao[[#This Row],[COLABORADOR]],TblCadastro[NOME COMPLETO],0)
  ),
  ""
)</f>
        <v/>
      </c>
      <c r="H15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4" s="34"/>
      <c r="J154" s="34"/>
      <c r="K154" s="34"/>
      <c r="L154" s="21">
        <f>TblApuracao[[#This Row],[HRS EXTRAS (h:mm)]]-TblApuracao[[#This Row],[FALTAS/ATRASOS (h:mm)]]+TblApuracao[[#This Row],[AJUSTE MANUAL (h:mm)]]</f>
        <v>0</v>
      </c>
      <c r="M154" s="21">
        <f>SUMPRODUCT((TblApuracao[COLABORADOR]=TblApuracao[[#This Row],[COLABORADOR]])*(TblApuracao[COMPETÊNCIA]&lt;=TblApuracao[[#This Row],[COMPETÊNCIA]])*TblApuracao[HRS EXTRAS (h:mm)])</f>
        <v>0</v>
      </c>
      <c r="N154" s="21">
        <f>SUMPRODUCT((TblApuracao[COLABORADOR]=TblApuracao[[#This Row],[COLABORADOR]])*(TblApuracao[COMPETÊNCIA]&lt;=TblApuracao[[#This Row],[COMPETÊNCIA]])*TblApuracao[FALTAS/ATRASOS (h:mm)])</f>
        <v>0</v>
      </c>
      <c r="O154" s="21">
        <f>TblApuracao[[#This Row],[SALDO ANT. (h:mm)]]+TblApuracao[[#This Row],[SALDO MÊS (h:mm)]]</f>
        <v>0</v>
      </c>
      <c r="P154" s="24"/>
      <c r="Q154" s="24"/>
      <c r="R154" s="24"/>
      <c r="S154" s="24" t="str">
        <f>TblApuracao[[#This Row],[COLABORADOR]]&amp;TblApuracao[[#This Row],[COMPETÊNCIA]]</f>
        <v/>
      </c>
      <c r="T154" s="24">
        <f>ROW(TblApuracao[[#Headers],[COMPETÊNCIA]])</f>
        <v>2</v>
      </c>
      <c r="U154" s="24" t="str">
        <f>TblApuracao[[#This Row],[COLABORADOR]]&amp;TblApuracao[[#This Row],[COMPETÊNCIA]]</f>
        <v/>
      </c>
      <c r="V154" s="24" t="str">
        <f>INDEX(TblApuracao[COMPETÊNCIA],1)</f>
        <v>2026-03</v>
      </c>
      <c r="W154" s="25">
        <f>SUMPRODUCT((TblApuracao[COLABORADOR]="Emanuelly Ribeiro de Aguiar")*(TblApuracao[COMPETÊNCIA]&lt;="2025-09")*(TblApuracao[SALDO MÊS (h:mm)]&gt;0)*TblApuracao[SALDO MÊS (h:mm)])</f>
        <v>0.6875</v>
      </c>
    </row>
    <row r="155" spans="1:23" ht="15" customHeight="1" x14ac:dyDescent="0.25">
      <c r="A155" s="18">
        <f t="shared" si="2"/>
        <v>153</v>
      </c>
      <c r="B155" s="34"/>
      <c r="C155" s="19" t="str">
        <f>IFERROR(
  INDEX(TblCadastro[SETOR],
    MATCH(TblApuracao[[#This Row],[COLABORADOR]],TblCadastro[NOME COMPLETO],0)
  ),
  "Não cadastrado"
)</f>
        <v>Não cadastrado</v>
      </c>
      <c r="D155" s="34"/>
      <c r="E15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5" s="18" t="str">
        <f>IFERROR(
  INDEX(TblCadastro[JORNADA ATUAL (h/dia)],
    MATCH(TblApuracao[[#This Row],[COLABORADOR]],TblCadastro[NOME COMPLETO],0)
  ),
  ""
)</f>
        <v/>
      </c>
      <c r="G155" s="18" t="str">
        <f>IFERROR(
  INDEX(TblCadastro[TRABALHA SÁB?],
    MATCH(TblApuracao[[#This Row],[COLABORADOR]],TblCadastro[NOME COMPLETO],0)
  ),
  ""
)</f>
        <v/>
      </c>
      <c r="H15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5" s="34"/>
      <c r="J155" s="34"/>
      <c r="K155" s="34"/>
      <c r="L155" s="21">
        <f>TblApuracao[[#This Row],[HRS EXTRAS (h:mm)]]-TblApuracao[[#This Row],[FALTAS/ATRASOS (h:mm)]]+TblApuracao[[#This Row],[AJUSTE MANUAL (h:mm)]]</f>
        <v>0</v>
      </c>
      <c r="M155" s="21">
        <f>SUMPRODUCT((TblApuracao[COLABORADOR]=TblApuracao[[#This Row],[COLABORADOR]])*(TblApuracao[COMPETÊNCIA]&lt;=TblApuracao[[#This Row],[COMPETÊNCIA]])*TblApuracao[HRS EXTRAS (h:mm)])</f>
        <v>0</v>
      </c>
      <c r="N155" s="21">
        <f>SUMPRODUCT((TblApuracao[COLABORADOR]=TblApuracao[[#This Row],[COLABORADOR]])*(TblApuracao[COMPETÊNCIA]&lt;=TblApuracao[[#This Row],[COMPETÊNCIA]])*TblApuracao[FALTAS/ATRASOS (h:mm)])</f>
        <v>0</v>
      </c>
      <c r="O155" s="21">
        <f>TblApuracao[[#This Row],[SALDO ANT. (h:mm)]]+TblApuracao[[#This Row],[SALDO MÊS (h:mm)]]</f>
        <v>0</v>
      </c>
      <c r="P155" s="24"/>
      <c r="Q155" s="24"/>
      <c r="R155" s="24"/>
      <c r="S155" s="24" t="str">
        <f>TblApuracao[[#This Row],[COLABORADOR]]&amp;TblApuracao[[#This Row],[COMPETÊNCIA]]</f>
        <v/>
      </c>
      <c r="T155" s="24">
        <f>ROW(TblApuracao[[#Headers],[COMPETÊNCIA]])</f>
        <v>2</v>
      </c>
      <c r="U155" s="24" t="str">
        <f>TblApuracao[[#This Row],[COLABORADOR]]&amp;TblApuracao[[#This Row],[COMPETÊNCIA]]</f>
        <v/>
      </c>
      <c r="V155" s="24" t="str">
        <f>INDEX(TblApuracao[COMPETÊNCIA],1)</f>
        <v>2026-03</v>
      </c>
      <c r="W155" s="25">
        <f>SUMPRODUCT((TblApuracao[COLABORADOR]="Emanuelly Ribeiro de Aguiar")*(TblApuracao[COMPETÊNCIA]&lt;="2025-09")*(TblApuracao[SALDO MÊS (h:mm)]&gt;0)*TblApuracao[SALDO MÊS (h:mm)])</f>
        <v>0.6875</v>
      </c>
    </row>
    <row r="156" spans="1:23" ht="15" customHeight="1" x14ac:dyDescent="0.25">
      <c r="A156" s="18">
        <f t="shared" si="2"/>
        <v>154</v>
      </c>
      <c r="B156" s="34"/>
      <c r="C156" s="19" t="str">
        <f>IFERROR(
  INDEX(TblCadastro[SETOR],
    MATCH(TblApuracao[[#This Row],[COLABORADOR]],TblCadastro[NOME COMPLETO],0)
  ),
  "Não cadastrado"
)</f>
        <v>Não cadastrado</v>
      </c>
      <c r="D156" s="34"/>
      <c r="E15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6" s="18" t="str">
        <f>IFERROR(
  INDEX(TblCadastro[JORNADA ATUAL (h/dia)],
    MATCH(TblApuracao[[#This Row],[COLABORADOR]],TblCadastro[NOME COMPLETO],0)
  ),
  ""
)</f>
        <v/>
      </c>
      <c r="G156" s="18" t="str">
        <f>IFERROR(
  INDEX(TblCadastro[TRABALHA SÁB?],
    MATCH(TblApuracao[[#This Row],[COLABORADOR]],TblCadastro[NOME COMPLETO],0)
  ),
  ""
)</f>
        <v/>
      </c>
      <c r="H15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6" s="34"/>
      <c r="J156" s="34"/>
      <c r="K156" s="34"/>
      <c r="L156" s="21">
        <f>TblApuracao[[#This Row],[HRS EXTRAS (h:mm)]]-TblApuracao[[#This Row],[FALTAS/ATRASOS (h:mm)]]+TblApuracao[[#This Row],[AJUSTE MANUAL (h:mm)]]</f>
        <v>0</v>
      </c>
      <c r="M156" s="21">
        <f>SUMPRODUCT((TblApuracao[COLABORADOR]=TblApuracao[[#This Row],[COLABORADOR]])*(TblApuracao[COMPETÊNCIA]&lt;=TblApuracao[[#This Row],[COMPETÊNCIA]])*TblApuracao[HRS EXTRAS (h:mm)])</f>
        <v>0</v>
      </c>
      <c r="N156" s="21">
        <f>SUMPRODUCT((TblApuracao[COLABORADOR]=TblApuracao[[#This Row],[COLABORADOR]])*(TblApuracao[COMPETÊNCIA]&lt;=TblApuracao[[#This Row],[COMPETÊNCIA]])*TblApuracao[FALTAS/ATRASOS (h:mm)])</f>
        <v>0</v>
      </c>
      <c r="O156" s="21">
        <f>TblApuracao[[#This Row],[SALDO ANT. (h:mm)]]+TblApuracao[[#This Row],[SALDO MÊS (h:mm)]]</f>
        <v>0</v>
      </c>
      <c r="P156" s="24"/>
      <c r="Q156" s="24"/>
      <c r="R156" s="24"/>
      <c r="S156" s="24" t="str">
        <f>TblApuracao[[#This Row],[COLABORADOR]]&amp;TblApuracao[[#This Row],[COMPETÊNCIA]]</f>
        <v/>
      </c>
      <c r="T156" s="24">
        <f>ROW(TblApuracao[[#Headers],[COMPETÊNCIA]])</f>
        <v>2</v>
      </c>
      <c r="U156" s="24" t="str">
        <f>TblApuracao[[#This Row],[COLABORADOR]]&amp;TblApuracao[[#This Row],[COMPETÊNCIA]]</f>
        <v/>
      </c>
      <c r="V156" s="24" t="str">
        <f>INDEX(TblApuracao[COMPETÊNCIA],1)</f>
        <v>2026-03</v>
      </c>
      <c r="W156" s="25">
        <f>SUMPRODUCT((TblApuracao[COLABORADOR]="Emanuelly Ribeiro de Aguiar")*(TblApuracao[COMPETÊNCIA]&lt;="2025-09")*(TblApuracao[SALDO MÊS (h:mm)]&gt;0)*TblApuracao[SALDO MÊS (h:mm)])</f>
        <v>0.6875</v>
      </c>
    </row>
    <row r="157" spans="1:23" ht="15" customHeight="1" x14ac:dyDescent="0.25">
      <c r="A157" s="18">
        <f t="shared" si="2"/>
        <v>155</v>
      </c>
      <c r="B157" s="34"/>
      <c r="C157" s="19" t="str">
        <f>IFERROR(
  INDEX(TblCadastro[SETOR],
    MATCH(TblApuracao[[#This Row],[COLABORADOR]],TblCadastro[NOME COMPLETO],0)
  ),
  "Não cadastrado"
)</f>
        <v>Não cadastrado</v>
      </c>
      <c r="D157" s="34"/>
      <c r="E15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7" s="18" t="str">
        <f>IFERROR(
  INDEX(TblCadastro[JORNADA ATUAL (h/dia)],
    MATCH(TblApuracao[[#This Row],[COLABORADOR]],TblCadastro[NOME COMPLETO],0)
  ),
  ""
)</f>
        <v/>
      </c>
      <c r="G157" s="18" t="str">
        <f>IFERROR(
  INDEX(TblCadastro[TRABALHA SÁB?],
    MATCH(TblApuracao[[#This Row],[COLABORADOR]],TblCadastro[NOME COMPLETO],0)
  ),
  ""
)</f>
        <v/>
      </c>
      <c r="H15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7" s="34"/>
      <c r="J157" s="34"/>
      <c r="K157" s="34"/>
      <c r="L157" s="21">
        <f>TblApuracao[[#This Row],[HRS EXTRAS (h:mm)]]-TblApuracao[[#This Row],[FALTAS/ATRASOS (h:mm)]]+TblApuracao[[#This Row],[AJUSTE MANUAL (h:mm)]]</f>
        <v>0</v>
      </c>
      <c r="M157" s="21">
        <f>SUMPRODUCT((TblApuracao[COLABORADOR]=TblApuracao[[#This Row],[COLABORADOR]])*(TblApuracao[COMPETÊNCIA]&lt;=TblApuracao[[#This Row],[COMPETÊNCIA]])*TblApuracao[HRS EXTRAS (h:mm)])</f>
        <v>0</v>
      </c>
      <c r="N157" s="21">
        <f>SUMPRODUCT((TblApuracao[COLABORADOR]=TblApuracao[[#This Row],[COLABORADOR]])*(TblApuracao[COMPETÊNCIA]&lt;=TblApuracao[[#This Row],[COMPETÊNCIA]])*TblApuracao[FALTAS/ATRASOS (h:mm)])</f>
        <v>0</v>
      </c>
      <c r="O157" s="21">
        <f>TblApuracao[[#This Row],[SALDO ANT. (h:mm)]]+TblApuracao[[#This Row],[SALDO MÊS (h:mm)]]</f>
        <v>0</v>
      </c>
      <c r="P157" s="24"/>
      <c r="Q157" s="24"/>
      <c r="R157" s="24"/>
      <c r="S157" s="24" t="str">
        <f>TblApuracao[[#This Row],[COLABORADOR]]&amp;TblApuracao[[#This Row],[COMPETÊNCIA]]</f>
        <v/>
      </c>
      <c r="T157" s="24">
        <f>ROW(TblApuracao[[#Headers],[COMPETÊNCIA]])</f>
        <v>2</v>
      </c>
      <c r="U157" s="24" t="str">
        <f>TblApuracao[[#This Row],[COLABORADOR]]&amp;TblApuracao[[#This Row],[COMPETÊNCIA]]</f>
        <v/>
      </c>
      <c r="V157" s="24" t="str">
        <f>INDEX(TblApuracao[COMPETÊNCIA],1)</f>
        <v>2026-03</v>
      </c>
      <c r="W157" s="25">
        <f>SUMPRODUCT((TblApuracao[COLABORADOR]="Emanuelly Ribeiro de Aguiar")*(TblApuracao[COMPETÊNCIA]&lt;="2025-09")*(TblApuracao[SALDO MÊS (h:mm)]&gt;0)*TblApuracao[SALDO MÊS (h:mm)])</f>
        <v>0.6875</v>
      </c>
    </row>
    <row r="158" spans="1:23" ht="15" customHeight="1" x14ac:dyDescent="0.25">
      <c r="A158" s="18">
        <f t="shared" si="2"/>
        <v>156</v>
      </c>
      <c r="B158" s="34"/>
      <c r="C158" s="19" t="str">
        <f>IFERROR(
  INDEX(TblCadastro[SETOR],
    MATCH(TblApuracao[[#This Row],[COLABORADOR]],TblCadastro[NOME COMPLETO],0)
  ),
  "Não cadastrado"
)</f>
        <v>Não cadastrado</v>
      </c>
      <c r="D158" s="34"/>
      <c r="E15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8" s="18" t="str">
        <f>IFERROR(
  INDEX(TblCadastro[JORNADA ATUAL (h/dia)],
    MATCH(TblApuracao[[#This Row],[COLABORADOR]],TblCadastro[NOME COMPLETO],0)
  ),
  ""
)</f>
        <v/>
      </c>
      <c r="G158" s="18" t="str">
        <f>IFERROR(
  INDEX(TblCadastro[TRABALHA SÁB?],
    MATCH(TblApuracao[[#This Row],[COLABORADOR]],TblCadastro[NOME COMPLETO],0)
  ),
  ""
)</f>
        <v/>
      </c>
      <c r="H15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8" s="34"/>
      <c r="J158" s="34"/>
      <c r="K158" s="34"/>
      <c r="L158" s="21">
        <f>TblApuracao[[#This Row],[HRS EXTRAS (h:mm)]]-TblApuracao[[#This Row],[FALTAS/ATRASOS (h:mm)]]+TblApuracao[[#This Row],[AJUSTE MANUAL (h:mm)]]</f>
        <v>0</v>
      </c>
      <c r="M158" s="21">
        <f>SUMPRODUCT((TblApuracao[COLABORADOR]=TblApuracao[[#This Row],[COLABORADOR]])*(TblApuracao[COMPETÊNCIA]&lt;=TblApuracao[[#This Row],[COMPETÊNCIA]])*TblApuracao[HRS EXTRAS (h:mm)])</f>
        <v>0</v>
      </c>
      <c r="N158" s="21">
        <f>SUMPRODUCT((TblApuracao[COLABORADOR]=TblApuracao[[#This Row],[COLABORADOR]])*(TblApuracao[COMPETÊNCIA]&lt;=TblApuracao[[#This Row],[COMPETÊNCIA]])*TblApuracao[FALTAS/ATRASOS (h:mm)])</f>
        <v>0</v>
      </c>
      <c r="O158" s="21">
        <f>TblApuracao[[#This Row],[SALDO ANT. (h:mm)]]+TblApuracao[[#This Row],[SALDO MÊS (h:mm)]]</f>
        <v>0</v>
      </c>
      <c r="P158" s="24"/>
      <c r="Q158" s="24"/>
      <c r="R158" s="24"/>
      <c r="S158" s="24" t="str">
        <f>TblApuracao[[#This Row],[COLABORADOR]]&amp;TblApuracao[[#This Row],[COMPETÊNCIA]]</f>
        <v/>
      </c>
      <c r="T158" s="24">
        <f>ROW(TblApuracao[[#Headers],[COMPETÊNCIA]])</f>
        <v>2</v>
      </c>
      <c r="U158" s="24" t="str">
        <f>TblApuracao[[#This Row],[COLABORADOR]]&amp;TblApuracao[[#This Row],[COMPETÊNCIA]]</f>
        <v/>
      </c>
      <c r="V158" s="24" t="str">
        <f>INDEX(TblApuracao[COMPETÊNCIA],1)</f>
        <v>2026-03</v>
      </c>
      <c r="W158" s="25">
        <f>SUMPRODUCT((TblApuracao[COLABORADOR]="Emanuelly Ribeiro de Aguiar")*(TblApuracao[COMPETÊNCIA]&lt;="2025-09")*(TblApuracao[SALDO MÊS (h:mm)]&gt;0)*TblApuracao[SALDO MÊS (h:mm)])</f>
        <v>0.6875</v>
      </c>
    </row>
    <row r="159" spans="1:23" ht="15" customHeight="1" x14ac:dyDescent="0.25">
      <c r="A159" s="18">
        <f t="shared" si="2"/>
        <v>157</v>
      </c>
      <c r="B159" s="34"/>
      <c r="C159" s="19" t="str">
        <f>IFERROR(
  INDEX(TblCadastro[SETOR],
    MATCH(TblApuracao[[#This Row],[COLABORADOR]],TblCadastro[NOME COMPLETO],0)
  ),
  "Não cadastrado"
)</f>
        <v>Não cadastrado</v>
      </c>
      <c r="D159" s="34"/>
      <c r="E15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9" s="18" t="str">
        <f>IFERROR(
  INDEX(TblCadastro[JORNADA ATUAL (h/dia)],
    MATCH(TblApuracao[[#This Row],[COLABORADOR]],TblCadastro[NOME COMPLETO],0)
  ),
  ""
)</f>
        <v/>
      </c>
      <c r="G159" s="18" t="str">
        <f>IFERROR(
  INDEX(TblCadastro[TRABALHA SÁB?],
    MATCH(TblApuracao[[#This Row],[COLABORADOR]],TblCadastro[NOME COMPLETO],0)
  ),
  ""
)</f>
        <v/>
      </c>
      <c r="H15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9" s="34"/>
      <c r="J159" s="34"/>
      <c r="K159" s="34"/>
      <c r="L159" s="21">
        <f>TblApuracao[[#This Row],[HRS EXTRAS (h:mm)]]-TblApuracao[[#This Row],[FALTAS/ATRASOS (h:mm)]]+TblApuracao[[#This Row],[AJUSTE MANUAL (h:mm)]]</f>
        <v>0</v>
      </c>
      <c r="M159" s="21">
        <f>SUMPRODUCT((TblApuracao[COLABORADOR]=TblApuracao[[#This Row],[COLABORADOR]])*(TblApuracao[COMPETÊNCIA]&lt;=TblApuracao[[#This Row],[COMPETÊNCIA]])*TblApuracao[HRS EXTRAS (h:mm)])</f>
        <v>0</v>
      </c>
      <c r="N159" s="21">
        <f>SUMPRODUCT((TblApuracao[COLABORADOR]=TblApuracao[[#This Row],[COLABORADOR]])*(TblApuracao[COMPETÊNCIA]&lt;=TblApuracao[[#This Row],[COMPETÊNCIA]])*TblApuracao[FALTAS/ATRASOS (h:mm)])</f>
        <v>0</v>
      </c>
      <c r="O159" s="21">
        <f>TblApuracao[[#This Row],[SALDO ANT. (h:mm)]]+TblApuracao[[#This Row],[SALDO MÊS (h:mm)]]</f>
        <v>0</v>
      </c>
      <c r="P159" s="24"/>
      <c r="Q159" s="24"/>
      <c r="R159" s="24"/>
      <c r="S159" s="24" t="str">
        <f>TblApuracao[[#This Row],[COLABORADOR]]&amp;TblApuracao[[#This Row],[COMPETÊNCIA]]</f>
        <v/>
      </c>
      <c r="T159" s="24">
        <f>ROW(TblApuracao[[#Headers],[COMPETÊNCIA]])</f>
        <v>2</v>
      </c>
      <c r="U159" s="24" t="str">
        <f>TblApuracao[[#This Row],[COLABORADOR]]&amp;TblApuracao[[#This Row],[COMPETÊNCIA]]</f>
        <v/>
      </c>
      <c r="V159" s="24" t="str">
        <f>INDEX(TblApuracao[COMPETÊNCIA],1)</f>
        <v>2026-03</v>
      </c>
      <c r="W159" s="25">
        <f>SUMPRODUCT((TblApuracao[COLABORADOR]="Emanuelly Ribeiro de Aguiar")*(TblApuracao[COMPETÊNCIA]&lt;="2025-09")*(TblApuracao[SALDO MÊS (h:mm)]&gt;0)*TblApuracao[SALDO MÊS (h:mm)])</f>
        <v>0.6875</v>
      </c>
    </row>
    <row r="160" spans="1:23" ht="15" customHeight="1" x14ac:dyDescent="0.25">
      <c r="A160" s="18">
        <f t="shared" si="2"/>
        <v>158</v>
      </c>
      <c r="B160" s="34"/>
      <c r="C160" s="19" t="str">
        <f>IFERROR(
  INDEX(TblCadastro[SETOR],
    MATCH(TblApuracao[[#This Row],[COLABORADOR]],TblCadastro[NOME COMPLETO],0)
  ),
  "Não cadastrado"
)</f>
        <v>Não cadastrado</v>
      </c>
      <c r="D160" s="34"/>
      <c r="E16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0" s="18" t="str">
        <f>IFERROR(
  INDEX(TblCadastro[JORNADA ATUAL (h/dia)],
    MATCH(TblApuracao[[#This Row],[COLABORADOR]],TblCadastro[NOME COMPLETO],0)
  ),
  ""
)</f>
        <v/>
      </c>
      <c r="G160" s="18" t="str">
        <f>IFERROR(
  INDEX(TblCadastro[TRABALHA SÁB?],
    MATCH(TblApuracao[[#This Row],[COLABORADOR]],TblCadastro[NOME COMPLETO],0)
  ),
  ""
)</f>
        <v/>
      </c>
      <c r="H16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0" s="34"/>
      <c r="J160" s="34"/>
      <c r="K160" s="34"/>
      <c r="L160" s="21">
        <f>TblApuracao[[#This Row],[HRS EXTRAS (h:mm)]]-TblApuracao[[#This Row],[FALTAS/ATRASOS (h:mm)]]+TblApuracao[[#This Row],[AJUSTE MANUAL (h:mm)]]</f>
        <v>0</v>
      </c>
      <c r="M160" s="21">
        <f>SUMPRODUCT((TblApuracao[COLABORADOR]=TblApuracao[[#This Row],[COLABORADOR]])*(TblApuracao[COMPETÊNCIA]&lt;=TblApuracao[[#This Row],[COMPETÊNCIA]])*TblApuracao[HRS EXTRAS (h:mm)])</f>
        <v>0</v>
      </c>
      <c r="N160" s="21">
        <f>SUMPRODUCT((TblApuracao[COLABORADOR]=TblApuracao[[#This Row],[COLABORADOR]])*(TblApuracao[COMPETÊNCIA]&lt;=TblApuracao[[#This Row],[COMPETÊNCIA]])*TblApuracao[FALTAS/ATRASOS (h:mm)])</f>
        <v>0</v>
      </c>
      <c r="O160" s="21">
        <f>TblApuracao[[#This Row],[SALDO ANT. (h:mm)]]+TblApuracao[[#This Row],[SALDO MÊS (h:mm)]]</f>
        <v>0</v>
      </c>
      <c r="P160" s="24"/>
      <c r="Q160" s="24"/>
      <c r="R160" s="24"/>
      <c r="S160" s="24" t="str">
        <f>TblApuracao[[#This Row],[COLABORADOR]]&amp;TblApuracao[[#This Row],[COMPETÊNCIA]]</f>
        <v/>
      </c>
      <c r="T160" s="24">
        <f>ROW(TblApuracao[[#Headers],[COMPETÊNCIA]])</f>
        <v>2</v>
      </c>
      <c r="U160" s="24" t="str">
        <f>TblApuracao[[#This Row],[COLABORADOR]]&amp;TblApuracao[[#This Row],[COMPETÊNCIA]]</f>
        <v/>
      </c>
      <c r="V160" s="24" t="str">
        <f>INDEX(TblApuracao[COMPETÊNCIA],1)</f>
        <v>2026-03</v>
      </c>
      <c r="W160" s="25">
        <f>SUMPRODUCT((TblApuracao[COLABORADOR]="Emanuelly Ribeiro de Aguiar")*(TblApuracao[COMPETÊNCIA]&lt;="2025-09")*(TblApuracao[SALDO MÊS (h:mm)]&gt;0)*TblApuracao[SALDO MÊS (h:mm)])</f>
        <v>0.6875</v>
      </c>
    </row>
    <row r="161" spans="1:23" ht="15" customHeight="1" x14ac:dyDescent="0.25">
      <c r="A161" s="18">
        <f t="shared" si="2"/>
        <v>159</v>
      </c>
      <c r="B161" s="34"/>
      <c r="C161" s="19" t="str">
        <f>IFERROR(
  INDEX(TblCadastro[SETOR],
    MATCH(TblApuracao[[#This Row],[COLABORADOR]],TblCadastro[NOME COMPLETO],0)
  ),
  "Não cadastrado"
)</f>
        <v>Não cadastrado</v>
      </c>
      <c r="D161" s="34"/>
      <c r="E16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1" s="18" t="str">
        <f>IFERROR(
  INDEX(TblCadastro[JORNADA ATUAL (h/dia)],
    MATCH(TblApuracao[[#This Row],[COLABORADOR]],TblCadastro[NOME COMPLETO],0)
  ),
  ""
)</f>
        <v/>
      </c>
      <c r="G161" s="18" t="str">
        <f>IFERROR(
  INDEX(TblCadastro[TRABALHA SÁB?],
    MATCH(TblApuracao[[#This Row],[COLABORADOR]],TblCadastro[NOME COMPLETO],0)
  ),
  ""
)</f>
        <v/>
      </c>
      <c r="H16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1" s="34"/>
      <c r="J161" s="34"/>
      <c r="K161" s="34"/>
      <c r="L161" s="21">
        <f>TblApuracao[[#This Row],[HRS EXTRAS (h:mm)]]-TblApuracao[[#This Row],[FALTAS/ATRASOS (h:mm)]]+TblApuracao[[#This Row],[AJUSTE MANUAL (h:mm)]]</f>
        <v>0</v>
      </c>
      <c r="M161" s="21">
        <f>SUMPRODUCT((TblApuracao[COLABORADOR]=TblApuracao[[#This Row],[COLABORADOR]])*(TblApuracao[COMPETÊNCIA]&lt;=TblApuracao[[#This Row],[COMPETÊNCIA]])*TblApuracao[HRS EXTRAS (h:mm)])</f>
        <v>0</v>
      </c>
      <c r="N161" s="21">
        <f>SUMPRODUCT((TblApuracao[COLABORADOR]=TblApuracao[[#This Row],[COLABORADOR]])*(TblApuracao[COMPETÊNCIA]&lt;=TblApuracao[[#This Row],[COMPETÊNCIA]])*TblApuracao[FALTAS/ATRASOS (h:mm)])</f>
        <v>0</v>
      </c>
      <c r="O161" s="21">
        <f>TblApuracao[[#This Row],[SALDO ANT. (h:mm)]]+TblApuracao[[#This Row],[SALDO MÊS (h:mm)]]</f>
        <v>0</v>
      </c>
      <c r="P161" s="24"/>
      <c r="Q161" s="24"/>
      <c r="R161" s="24"/>
      <c r="S161" s="24" t="str">
        <f>TblApuracao[[#This Row],[COLABORADOR]]&amp;TblApuracao[[#This Row],[COMPETÊNCIA]]</f>
        <v/>
      </c>
      <c r="T161" s="24">
        <f>ROW(TblApuracao[[#Headers],[COMPETÊNCIA]])</f>
        <v>2</v>
      </c>
      <c r="U161" s="24" t="str">
        <f>TblApuracao[[#This Row],[COLABORADOR]]&amp;TblApuracao[[#This Row],[COMPETÊNCIA]]</f>
        <v/>
      </c>
      <c r="V161" s="24" t="str">
        <f>INDEX(TblApuracao[COMPETÊNCIA],1)</f>
        <v>2026-03</v>
      </c>
      <c r="W161" s="25">
        <f>SUMPRODUCT((TblApuracao[COLABORADOR]="Emanuelly Ribeiro de Aguiar")*(TblApuracao[COMPETÊNCIA]&lt;="2025-09")*(TblApuracao[SALDO MÊS (h:mm)]&gt;0)*TblApuracao[SALDO MÊS (h:mm)])</f>
        <v>0.6875</v>
      </c>
    </row>
    <row r="162" spans="1:23" ht="15" customHeight="1" x14ac:dyDescent="0.25">
      <c r="A162" s="18">
        <f t="shared" si="2"/>
        <v>160</v>
      </c>
      <c r="B162" s="34"/>
      <c r="C162" s="19" t="str">
        <f>IFERROR(
  INDEX(TblCadastro[SETOR],
    MATCH(TblApuracao[[#This Row],[COLABORADOR]],TblCadastro[NOME COMPLETO],0)
  ),
  "Não cadastrado"
)</f>
        <v>Não cadastrado</v>
      </c>
      <c r="D162" s="34"/>
      <c r="E16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2" s="18" t="str">
        <f>IFERROR(
  INDEX(TblCadastro[JORNADA ATUAL (h/dia)],
    MATCH(TblApuracao[[#This Row],[COLABORADOR]],TblCadastro[NOME COMPLETO],0)
  ),
  ""
)</f>
        <v/>
      </c>
      <c r="G162" s="18" t="str">
        <f>IFERROR(
  INDEX(TblCadastro[TRABALHA SÁB?],
    MATCH(TblApuracao[[#This Row],[COLABORADOR]],TblCadastro[NOME COMPLETO],0)
  ),
  ""
)</f>
        <v/>
      </c>
      <c r="H16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2" s="34"/>
      <c r="J162" s="34"/>
      <c r="K162" s="34"/>
      <c r="L162" s="21">
        <f>TblApuracao[[#This Row],[HRS EXTRAS (h:mm)]]-TblApuracao[[#This Row],[FALTAS/ATRASOS (h:mm)]]+TblApuracao[[#This Row],[AJUSTE MANUAL (h:mm)]]</f>
        <v>0</v>
      </c>
      <c r="M162" s="21">
        <f>SUMPRODUCT((TblApuracao[COLABORADOR]=TblApuracao[[#This Row],[COLABORADOR]])*(TblApuracao[COMPETÊNCIA]&lt;=TblApuracao[[#This Row],[COMPETÊNCIA]])*TblApuracao[HRS EXTRAS (h:mm)])</f>
        <v>0</v>
      </c>
      <c r="N162" s="21">
        <f>SUMPRODUCT((TblApuracao[COLABORADOR]=TblApuracao[[#This Row],[COLABORADOR]])*(TblApuracao[COMPETÊNCIA]&lt;=TblApuracao[[#This Row],[COMPETÊNCIA]])*TblApuracao[FALTAS/ATRASOS (h:mm)])</f>
        <v>0</v>
      </c>
      <c r="O162" s="21">
        <f>TblApuracao[[#This Row],[SALDO ANT. (h:mm)]]+TblApuracao[[#This Row],[SALDO MÊS (h:mm)]]</f>
        <v>0</v>
      </c>
      <c r="P162" s="24"/>
      <c r="Q162" s="24"/>
      <c r="R162" s="24"/>
      <c r="S162" s="24" t="str">
        <f>TblApuracao[[#This Row],[COLABORADOR]]&amp;TblApuracao[[#This Row],[COMPETÊNCIA]]</f>
        <v/>
      </c>
      <c r="T162" s="24">
        <f>ROW(TblApuracao[[#Headers],[COMPETÊNCIA]])</f>
        <v>2</v>
      </c>
      <c r="U162" s="24" t="str">
        <f>TblApuracao[[#This Row],[COLABORADOR]]&amp;TblApuracao[[#This Row],[COMPETÊNCIA]]</f>
        <v/>
      </c>
      <c r="V162" s="24" t="str">
        <f>INDEX(TblApuracao[COMPETÊNCIA],1)</f>
        <v>2026-03</v>
      </c>
      <c r="W162" s="25">
        <f>SUMPRODUCT((TblApuracao[COLABORADOR]="Emanuelly Ribeiro de Aguiar")*(TblApuracao[COMPETÊNCIA]&lt;="2025-09")*(TblApuracao[SALDO MÊS (h:mm)]&gt;0)*TblApuracao[SALDO MÊS (h:mm)])</f>
        <v>0.6875</v>
      </c>
    </row>
    <row r="163" spans="1:23" ht="15" customHeight="1" x14ac:dyDescent="0.25">
      <c r="A163" s="18">
        <f t="shared" si="2"/>
        <v>161</v>
      </c>
      <c r="B163" s="34"/>
      <c r="C163" s="19" t="str">
        <f>IFERROR(
  INDEX(TblCadastro[SETOR],
    MATCH(TblApuracao[[#This Row],[COLABORADOR]],TblCadastro[NOME COMPLETO],0)
  ),
  "Não cadastrado"
)</f>
        <v>Não cadastrado</v>
      </c>
      <c r="D163" s="34"/>
      <c r="E16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3" s="18" t="str">
        <f>IFERROR(
  INDEX(TblCadastro[JORNADA ATUAL (h/dia)],
    MATCH(TblApuracao[[#This Row],[COLABORADOR]],TblCadastro[NOME COMPLETO],0)
  ),
  ""
)</f>
        <v/>
      </c>
      <c r="G163" s="18" t="str">
        <f>IFERROR(
  INDEX(TblCadastro[TRABALHA SÁB?],
    MATCH(TblApuracao[[#This Row],[COLABORADOR]],TblCadastro[NOME COMPLETO],0)
  ),
  ""
)</f>
        <v/>
      </c>
      <c r="H16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3" s="34"/>
      <c r="J163" s="34"/>
      <c r="K163" s="34"/>
      <c r="L163" s="21">
        <f>TblApuracao[[#This Row],[HRS EXTRAS (h:mm)]]-TblApuracao[[#This Row],[FALTAS/ATRASOS (h:mm)]]+TblApuracao[[#This Row],[AJUSTE MANUAL (h:mm)]]</f>
        <v>0</v>
      </c>
      <c r="M163" s="21">
        <f>SUMPRODUCT((TblApuracao[COLABORADOR]=TblApuracao[[#This Row],[COLABORADOR]])*(TblApuracao[COMPETÊNCIA]&lt;=TblApuracao[[#This Row],[COMPETÊNCIA]])*TblApuracao[HRS EXTRAS (h:mm)])</f>
        <v>0</v>
      </c>
      <c r="N163" s="21">
        <f>SUMPRODUCT((TblApuracao[COLABORADOR]=TblApuracao[[#This Row],[COLABORADOR]])*(TblApuracao[COMPETÊNCIA]&lt;=TblApuracao[[#This Row],[COMPETÊNCIA]])*TblApuracao[FALTAS/ATRASOS (h:mm)])</f>
        <v>0</v>
      </c>
      <c r="O163" s="21">
        <f>TblApuracao[[#This Row],[SALDO ANT. (h:mm)]]+TblApuracao[[#This Row],[SALDO MÊS (h:mm)]]</f>
        <v>0</v>
      </c>
      <c r="P163" s="24"/>
      <c r="Q163" s="24"/>
      <c r="R163" s="24"/>
      <c r="S163" s="24" t="str">
        <f>TblApuracao[[#This Row],[COLABORADOR]]&amp;TblApuracao[[#This Row],[COMPETÊNCIA]]</f>
        <v/>
      </c>
      <c r="T163" s="24">
        <f>ROW(TblApuracao[[#Headers],[COMPETÊNCIA]])</f>
        <v>2</v>
      </c>
      <c r="U163" s="24" t="str">
        <f>TblApuracao[[#This Row],[COLABORADOR]]&amp;TblApuracao[[#This Row],[COMPETÊNCIA]]</f>
        <v/>
      </c>
      <c r="V163" s="24" t="str">
        <f>INDEX(TblApuracao[COMPETÊNCIA],1)</f>
        <v>2026-03</v>
      </c>
      <c r="W163" s="25">
        <f>SUMPRODUCT((TblApuracao[COLABORADOR]="Emanuelly Ribeiro de Aguiar")*(TblApuracao[COMPETÊNCIA]&lt;="2025-09")*(TblApuracao[SALDO MÊS (h:mm)]&gt;0)*TblApuracao[SALDO MÊS (h:mm)])</f>
        <v>0.6875</v>
      </c>
    </row>
    <row r="164" spans="1:23" ht="15" customHeight="1" x14ac:dyDescent="0.25">
      <c r="A164" s="18">
        <f t="shared" si="2"/>
        <v>162</v>
      </c>
      <c r="B164" s="34"/>
      <c r="C164" s="19" t="str">
        <f>IFERROR(
  INDEX(TblCadastro[SETOR],
    MATCH(TblApuracao[[#This Row],[COLABORADOR]],TblCadastro[NOME COMPLETO],0)
  ),
  "Não cadastrado"
)</f>
        <v>Não cadastrado</v>
      </c>
      <c r="D164" s="34"/>
      <c r="E16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4" s="18" t="str">
        <f>IFERROR(
  INDEX(TblCadastro[JORNADA ATUAL (h/dia)],
    MATCH(TblApuracao[[#This Row],[COLABORADOR]],TblCadastro[NOME COMPLETO],0)
  ),
  ""
)</f>
        <v/>
      </c>
      <c r="G164" s="18" t="str">
        <f>IFERROR(
  INDEX(TblCadastro[TRABALHA SÁB?],
    MATCH(TblApuracao[[#This Row],[COLABORADOR]],TblCadastro[NOME COMPLETO],0)
  ),
  ""
)</f>
        <v/>
      </c>
      <c r="H16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4" s="34"/>
      <c r="J164" s="34"/>
      <c r="K164" s="34"/>
      <c r="L164" s="21">
        <f>TblApuracao[[#This Row],[HRS EXTRAS (h:mm)]]-TblApuracao[[#This Row],[FALTAS/ATRASOS (h:mm)]]+TblApuracao[[#This Row],[AJUSTE MANUAL (h:mm)]]</f>
        <v>0</v>
      </c>
      <c r="M164" s="21">
        <f>SUMPRODUCT((TblApuracao[COLABORADOR]=TblApuracao[[#This Row],[COLABORADOR]])*(TblApuracao[COMPETÊNCIA]&lt;=TblApuracao[[#This Row],[COMPETÊNCIA]])*TblApuracao[HRS EXTRAS (h:mm)])</f>
        <v>0</v>
      </c>
      <c r="N164" s="21">
        <f>SUMPRODUCT((TblApuracao[COLABORADOR]=TblApuracao[[#This Row],[COLABORADOR]])*(TblApuracao[COMPETÊNCIA]&lt;=TblApuracao[[#This Row],[COMPETÊNCIA]])*TblApuracao[FALTAS/ATRASOS (h:mm)])</f>
        <v>0</v>
      </c>
      <c r="O164" s="21">
        <f>TblApuracao[[#This Row],[SALDO ANT. (h:mm)]]+TblApuracao[[#This Row],[SALDO MÊS (h:mm)]]</f>
        <v>0</v>
      </c>
      <c r="P164" s="24"/>
      <c r="Q164" s="24"/>
      <c r="R164" s="24"/>
      <c r="S164" s="24" t="str">
        <f>TblApuracao[[#This Row],[COLABORADOR]]&amp;TblApuracao[[#This Row],[COMPETÊNCIA]]</f>
        <v/>
      </c>
      <c r="T164" s="24">
        <f>ROW(TblApuracao[[#Headers],[COMPETÊNCIA]])</f>
        <v>2</v>
      </c>
      <c r="U164" s="24" t="str">
        <f>TblApuracao[[#This Row],[COLABORADOR]]&amp;TblApuracao[[#This Row],[COMPETÊNCIA]]</f>
        <v/>
      </c>
      <c r="V164" s="24" t="str">
        <f>INDEX(TblApuracao[COMPETÊNCIA],1)</f>
        <v>2026-03</v>
      </c>
      <c r="W164" s="25">
        <f>SUMPRODUCT((TblApuracao[COLABORADOR]="Emanuelly Ribeiro de Aguiar")*(TblApuracao[COMPETÊNCIA]&lt;="2025-09")*(TblApuracao[SALDO MÊS (h:mm)]&gt;0)*TblApuracao[SALDO MÊS (h:mm)])</f>
        <v>0.6875</v>
      </c>
    </row>
    <row r="165" spans="1:23" ht="15" customHeight="1" x14ac:dyDescent="0.25">
      <c r="A165" s="18">
        <f t="shared" si="2"/>
        <v>163</v>
      </c>
      <c r="B165" s="34"/>
      <c r="C165" s="19" t="str">
        <f>IFERROR(
  INDEX(TblCadastro[SETOR],
    MATCH(TblApuracao[[#This Row],[COLABORADOR]],TblCadastro[NOME COMPLETO],0)
  ),
  "Não cadastrado"
)</f>
        <v>Não cadastrado</v>
      </c>
      <c r="D165" s="34"/>
      <c r="E16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5" s="18" t="str">
        <f>IFERROR(
  INDEX(TblCadastro[JORNADA ATUAL (h/dia)],
    MATCH(TblApuracao[[#This Row],[COLABORADOR]],TblCadastro[NOME COMPLETO],0)
  ),
  ""
)</f>
        <v/>
      </c>
      <c r="G165" s="18" t="str">
        <f>IFERROR(
  INDEX(TblCadastro[TRABALHA SÁB?],
    MATCH(TblApuracao[[#This Row],[COLABORADOR]],TblCadastro[NOME COMPLETO],0)
  ),
  ""
)</f>
        <v/>
      </c>
      <c r="H16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5" s="34"/>
      <c r="J165" s="34"/>
      <c r="K165" s="34"/>
      <c r="L165" s="21">
        <f>TblApuracao[[#This Row],[HRS EXTRAS (h:mm)]]-TblApuracao[[#This Row],[FALTAS/ATRASOS (h:mm)]]+TblApuracao[[#This Row],[AJUSTE MANUAL (h:mm)]]</f>
        <v>0</v>
      </c>
      <c r="M165" s="21">
        <f>SUMPRODUCT((TblApuracao[COLABORADOR]=TblApuracao[[#This Row],[COLABORADOR]])*(TblApuracao[COMPETÊNCIA]&lt;=TblApuracao[[#This Row],[COMPETÊNCIA]])*TblApuracao[HRS EXTRAS (h:mm)])</f>
        <v>0</v>
      </c>
      <c r="N165" s="21">
        <f>SUMPRODUCT((TblApuracao[COLABORADOR]=TblApuracao[[#This Row],[COLABORADOR]])*(TblApuracao[COMPETÊNCIA]&lt;=TblApuracao[[#This Row],[COMPETÊNCIA]])*TblApuracao[FALTAS/ATRASOS (h:mm)])</f>
        <v>0</v>
      </c>
      <c r="O165" s="21">
        <f>TblApuracao[[#This Row],[SALDO ANT. (h:mm)]]+TblApuracao[[#This Row],[SALDO MÊS (h:mm)]]</f>
        <v>0</v>
      </c>
      <c r="P165" s="24"/>
      <c r="Q165" s="24"/>
      <c r="R165" s="24"/>
      <c r="S165" s="24" t="str">
        <f>TblApuracao[[#This Row],[COLABORADOR]]&amp;TblApuracao[[#This Row],[COMPETÊNCIA]]</f>
        <v/>
      </c>
      <c r="T165" s="24">
        <f>ROW(TblApuracao[[#Headers],[COMPETÊNCIA]])</f>
        <v>2</v>
      </c>
      <c r="U165" s="24" t="str">
        <f>TblApuracao[[#This Row],[COLABORADOR]]&amp;TblApuracao[[#This Row],[COMPETÊNCIA]]</f>
        <v/>
      </c>
      <c r="V165" s="24" t="str">
        <f>INDEX(TblApuracao[COMPETÊNCIA],1)</f>
        <v>2026-03</v>
      </c>
      <c r="W165" s="25">
        <f>SUMPRODUCT((TblApuracao[COLABORADOR]="Emanuelly Ribeiro de Aguiar")*(TblApuracao[COMPETÊNCIA]&lt;="2025-09")*(TblApuracao[SALDO MÊS (h:mm)]&gt;0)*TblApuracao[SALDO MÊS (h:mm)])</f>
        <v>0.6875</v>
      </c>
    </row>
    <row r="166" spans="1:23" ht="15" customHeight="1" x14ac:dyDescent="0.25">
      <c r="A166" s="18">
        <f t="shared" si="2"/>
        <v>164</v>
      </c>
      <c r="B166" s="34"/>
      <c r="C166" s="19" t="str">
        <f>IFERROR(
  INDEX(TblCadastro[SETOR],
    MATCH(TblApuracao[[#This Row],[COLABORADOR]],TblCadastro[NOME COMPLETO],0)
  ),
  "Não cadastrado"
)</f>
        <v>Não cadastrado</v>
      </c>
      <c r="D166" s="34"/>
      <c r="E16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6" s="18" t="str">
        <f>IFERROR(
  INDEX(TblCadastro[JORNADA ATUAL (h/dia)],
    MATCH(TblApuracao[[#This Row],[COLABORADOR]],TblCadastro[NOME COMPLETO],0)
  ),
  ""
)</f>
        <v/>
      </c>
      <c r="G166" s="18" t="str">
        <f>IFERROR(
  INDEX(TblCadastro[TRABALHA SÁB?],
    MATCH(TblApuracao[[#This Row],[COLABORADOR]],TblCadastro[NOME COMPLETO],0)
  ),
  ""
)</f>
        <v/>
      </c>
      <c r="H16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6" s="34"/>
      <c r="J166" s="34"/>
      <c r="K166" s="34"/>
      <c r="L166" s="21">
        <f>TblApuracao[[#This Row],[HRS EXTRAS (h:mm)]]-TblApuracao[[#This Row],[FALTAS/ATRASOS (h:mm)]]+TblApuracao[[#This Row],[AJUSTE MANUAL (h:mm)]]</f>
        <v>0</v>
      </c>
      <c r="M166" s="21">
        <f>SUMPRODUCT((TblApuracao[COLABORADOR]=TblApuracao[[#This Row],[COLABORADOR]])*(TblApuracao[COMPETÊNCIA]&lt;=TblApuracao[[#This Row],[COMPETÊNCIA]])*TblApuracao[HRS EXTRAS (h:mm)])</f>
        <v>0</v>
      </c>
      <c r="N166" s="21">
        <f>SUMPRODUCT((TblApuracao[COLABORADOR]=TblApuracao[[#This Row],[COLABORADOR]])*(TblApuracao[COMPETÊNCIA]&lt;=TblApuracao[[#This Row],[COMPETÊNCIA]])*TblApuracao[FALTAS/ATRASOS (h:mm)])</f>
        <v>0</v>
      </c>
      <c r="O166" s="21">
        <f>TblApuracao[[#This Row],[SALDO ANT. (h:mm)]]+TblApuracao[[#This Row],[SALDO MÊS (h:mm)]]</f>
        <v>0</v>
      </c>
      <c r="P166" s="24"/>
      <c r="Q166" s="24"/>
      <c r="R166" s="24"/>
      <c r="S166" s="24" t="str">
        <f>TblApuracao[[#This Row],[COLABORADOR]]&amp;TblApuracao[[#This Row],[COMPETÊNCIA]]</f>
        <v/>
      </c>
      <c r="T166" s="24">
        <f>ROW(TblApuracao[[#Headers],[COMPETÊNCIA]])</f>
        <v>2</v>
      </c>
      <c r="U166" s="24" t="str">
        <f>TblApuracao[[#This Row],[COLABORADOR]]&amp;TblApuracao[[#This Row],[COMPETÊNCIA]]</f>
        <v/>
      </c>
      <c r="V166" s="24" t="str">
        <f>INDEX(TblApuracao[COMPETÊNCIA],1)</f>
        <v>2026-03</v>
      </c>
      <c r="W166" s="25">
        <f>SUMPRODUCT((TblApuracao[COLABORADOR]="Emanuelly Ribeiro de Aguiar")*(TblApuracao[COMPETÊNCIA]&lt;="2025-09")*(TblApuracao[SALDO MÊS (h:mm)]&gt;0)*TblApuracao[SALDO MÊS (h:mm)])</f>
        <v>0.6875</v>
      </c>
    </row>
    <row r="167" spans="1:23" ht="15" customHeight="1" x14ac:dyDescent="0.25">
      <c r="A167" s="18">
        <f t="shared" si="2"/>
        <v>165</v>
      </c>
      <c r="B167" s="34"/>
      <c r="C167" s="19" t="str">
        <f>IFERROR(
  INDEX(TblCadastro[SETOR],
    MATCH(TblApuracao[[#This Row],[COLABORADOR]],TblCadastro[NOME COMPLETO],0)
  ),
  "Não cadastrado"
)</f>
        <v>Não cadastrado</v>
      </c>
      <c r="D167" s="34"/>
      <c r="E16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7" s="18" t="str">
        <f>IFERROR(
  INDEX(TblCadastro[JORNADA ATUAL (h/dia)],
    MATCH(TblApuracao[[#This Row],[COLABORADOR]],TblCadastro[NOME COMPLETO],0)
  ),
  ""
)</f>
        <v/>
      </c>
      <c r="G167" s="18" t="str">
        <f>IFERROR(
  INDEX(TblCadastro[TRABALHA SÁB?],
    MATCH(TblApuracao[[#This Row],[COLABORADOR]],TblCadastro[NOME COMPLETO],0)
  ),
  ""
)</f>
        <v/>
      </c>
      <c r="H16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7" s="34"/>
      <c r="J167" s="34"/>
      <c r="K167" s="34"/>
      <c r="L167" s="21">
        <f>TblApuracao[[#This Row],[HRS EXTRAS (h:mm)]]-TblApuracao[[#This Row],[FALTAS/ATRASOS (h:mm)]]+TblApuracao[[#This Row],[AJUSTE MANUAL (h:mm)]]</f>
        <v>0</v>
      </c>
      <c r="M167" s="21">
        <f>SUMPRODUCT((TblApuracao[COLABORADOR]=TblApuracao[[#This Row],[COLABORADOR]])*(TblApuracao[COMPETÊNCIA]&lt;=TblApuracao[[#This Row],[COMPETÊNCIA]])*TblApuracao[HRS EXTRAS (h:mm)])</f>
        <v>0</v>
      </c>
      <c r="N167" s="21">
        <f>SUMPRODUCT((TblApuracao[COLABORADOR]=TblApuracao[[#This Row],[COLABORADOR]])*(TblApuracao[COMPETÊNCIA]&lt;=TblApuracao[[#This Row],[COMPETÊNCIA]])*TblApuracao[FALTAS/ATRASOS (h:mm)])</f>
        <v>0</v>
      </c>
      <c r="O167" s="21">
        <f>TblApuracao[[#This Row],[SALDO ANT. (h:mm)]]+TblApuracao[[#This Row],[SALDO MÊS (h:mm)]]</f>
        <v>0</v>
      </c>
      <c r="P167" s="24"/>
      <c r="Q167" s="24"/>
      <c r="R167" s="24"/>
      <c r="S167" s="24" t="str">
        <f>TblApuracao[[#This Row],[COLABORADOR]]&amp;TblApuracao[[#This Row],[COMPETÊNCIA]]</f>
        <v/>
      </c>
      <c r="T167" s="24">
        <f>ROW(TblApuracao[[#Headers],[COMPETÊNCIA]])</f>
        <v>2</v>
      </c>
      <c r="U167" s="24" t="str">
        <f>TblApuracao[[#This Row],[COLABORADOR]]&amp;TblApuracao[[#This Row],[COMPETÊNCIA]]</f>
        <v/>
      </c>
      <c r="V167" s="24" t="str">
        <f>INDEX(TblApuracao[COMPETÊNCIA],1)</f>
        <v>2026-03</v>
      </c>
      <c r="W167" s="25">
        <f>SUMPRODUCT((TblApuracao[COLABORADOR]="Emanuelly Ribeiro de Aguiar")*(TblApuracao[COMPETÊNCIA]&lt;="2025-09")*(TblApuracao[SALDO MÊS (h:mm)]&gt;0)*TblApuracao[SALDO MÊS (h:mm)])</f>
        <v>0.6875</v>
      </c>
    </row>
    <row r="168" spans="1:23" ht="15" customHeight="1" x14ac:dyDescent="0.25">
      <c r="A168" s="18">
        <f t="shared" si="2"/>
        <v>166</v>
      </c>
      <c r="B168" s="34"/>
      <c r="C168" s="19" t="str">
        <f>IFERROR(
  INDEX(TblCadastro[SETOR],
    MATCH(TblApuracao[[#This Row],[COLABORADOR]],TblCadastro[NOME COMPLETO],0)
  ),
  "Não cadastrado"
)</f>
        <v>Não cadastrado</v>
      </c>
      <c r="D168" s="34"/>
      <c r="E16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8" s="18" t="str">
        <f>IFERROR(
  INDEX(TblCadastro[JORNADA ATUAL (h/dia)],
    MATCH(TblApuracao[[#This Row],[COLABORADOR]],TblCadastro[NOME COMPLETO],0)
  ),
  ""
)</f>
        <v/>
      </c>
      <c r="G168" s="18" t="str">
        <f>IFERROR(
  INDEX(TblCadastro[TRABALHA SÁB?],
    MATCH(TblApuracao[[#This Row],[COLABORADOR]],TblCadastro[NOME COMPLETO],0)
  ),
  ""
)</f>
        <v/>
      </c>
      <c r="H16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8" s="34"/>
      <c r="J168" s="34"/>
      <c r="K168" s="34"/>
      <c r="L168" s="21">
        <f>TblApuracao[[#This Row],[HRS EXTRAS (h:mm)]]-TblApuracao[[#This Row],[FALTAS/ATRASOS (h:mm)]]+TblApuracao[[#This Row],[AJUSTE MANUAL (h:mm)]]</f>
        <v>0</v>
      </c>
      <c r="M168" s="21">
        <f>SUMPRODUCT((TblApuracao[COLABORADOR]=TblApuracao[[#This Row],[COLABORADOR]])*(TblApuracao[COMPETÊNCIA]&lt;=TblApuracao[[#This Row],[COMPETÊNCIA]])*TblApuracao[HRS EXTRAS (h:mm)])</f>
        <v>0</v>
      </c>
      <c r="N168" s="21">
        <f>SUMPRODUCT((TblApuracao[COLABORADOR]=TblApuracao[[#This Row],[COLABORADOR]])*(TblApuracao[COMPETÊNCIA]&lt;=TblApuracao[[#This Row],[COMPETÊNCIA]])*TblApuracao[FALTAS/ATRASOS (h:mm)])</f>
        <v>0</v>
      </c>
      <c r="O168" s="21">
        <f>TblApuracao[[#This Row],[SALDO ANT. (h:mm)]]+TblApuracao[[#This Row],[SALDO MÊS (h:mm)]]</f>
        <v>0</v>
      </c>
      <c r="P168" s="24"/>
      <c r="Q168" s="24"/>
      <c r="R168" s="24"/>
      <c r="S168" s="24" t="str">
        <f>TblApuracao[[#This Row],[COLABORADOR]]&amp;TblApuracao[[#This Row],[COMPETÊNCIA]]</f>
        <v/>
      </c>
      <c r="T168" s="24">
        <f>ROW(TblApuracao[[#Headers],[COMPETÊNCIA]])</f>
        <v>2</v>
      </c>
      <c r="U168" s="24" t="str">
        <f>TblApuracao[[#This Row],[COLABORADOR]]&amp;TblApuracao[[#This Row],[COMPETÊNCIA]]</f>
        <v/>
      </c>
      <c r="V168" s="24" t="str">
        <f>INDEX(TblApuracao[COMPETÊNCIA],1)</f>
        <v>2026-03</v>
      </c>
      <c r="W168" s="25">
        <f>SUMPRODUCT((TblApuracao[COLABORADOR]="Emanuelly Ribeiro de Aguiar")*(TblApuracao[COMPETÊNCIA]&lt;="2025-09")*(TblApuracao[SALDO MÊS (h:mm)]&gt;0)*TblApuracao[SALDO MÊS (h:mm)])</f>
        <v>0.6875</v>
      </c>
    </row>
    <row r="169" spans="1:23" ht="15" customHeight="1" x14ac:dyDescent="0.25">
      <c r="A169" s="18">
        <f t="shared" si="2"/>
        <v>167</v>
      </c>
      <c r="B169" s="34"/>
      <c r="C169" s="19" t="str">
        <f>IFERROR(
  INDEX(TblCadastro[SETOR],
    MATCH(TblApuracao[[#This Row],[COLABORADOR]],TblCadastro[NOME COMPLETO],0)
  ),
  "Não cadastrado"
)</f>
        <v>Não cadastrado</v>
      </c>
      <c r="D169" s="34"/>
      <c r="E16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9" s="18" t="str">
        <f>IFERROR(
  INDEX(TblCadastro[JORNADA ATUAL (h/dia)],
    MATCH(TblApuracao[[#This Row],[COLABORADOR]],TblCadastro[NOME COMPLETO],0)
  ),
  ""
)</f>
        <v/>
      </c>
      <c r="G169" s="18" t="str">
        <f>IFERROR(
  INDEX(TblCadastro[TRABALHA SÁB?],
    MATCH(TblApuracao[[#This Row],[COLABORADOR]],TblCadastro[NOME COMPLETO],0)
  ),
  ""
)</f>
        <v/>
      </c>
      <c r="H16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9" s="34"/>
      <c r="J169" s="34"/>
      <c r="K169" s="34"/>
      <c r="L169" s="21">
        <f>TblApuracao[[#This Row],[HRS EXTRAS (h:mm)]]-TblApuracao[[#This Row],[FALTAS/ATRASOS (h:mm)]]+TblApuracao[[#This Row],[AJUSTE MANUAL (h:mm)]]</f>
        <v>0</v>
      </c>
      <c r="M169" s="21">
        <f>SUMPRODUCT((TblApuracao[COLABORADOR]=TblApuracao[[#This Row],[COLABORADOR]])*(TblApuracao[COMPETÊNCIA]&lt;=TblApuracao[[#This Row],[COMPETÊNCIA]])*TblApuracao[HRS EXTRAS (h:mm)])</f>
        <v>0</v>
      </c>
      <c r="N169" s="21">
        <f>SUMPRODUCT((TblApuracao[COLABORADOR]=TblApuracao[[#This Row],[COLABORADOR]])*(TblApuracao[COMPETÊNCIA]&lt;=TblApuracao[[#This Row],[COMPETÊNCIA]])*TblApuracao[FALTAS/ATRASOS (h:mm)])</f>
        <v>0</v>
      </c>
      <c r="O169" s="21">
        <f>TblApuracao[[#This Row],[SALDO ANT. (h:mm)]]+TblApuracao[[#This Row],[SALDO MÊS (h:mm)]]</f>
        <v>0</v>
      </c>
      <c r="P169" s="24"/>
      <c r="Q169" s="24"/>
      <c r="R169" s="24"/>
      <c r="S169" s="24" t="str">
        <f>TblApuracao[[#This Row],[COLABORADOR]]&amp;TblApuracao[[#This Row],[COMPETÊNCIA]]</f>
        <v/>
      </c>
      <c r="T169" s="24">
        <f>ROW(TblApuracao[[#Headers],[COMPETÊNCIA]])</f>
        <v>2</v>
      </c>
      <c r="U169" s="24" t="str">
        <f>TblApuracao[[#This Row],[COLABORADOR]]&amp;TblApuracao[[#This Row],[COMPETÊNCIA]]</f>
        <v/>
      </c>
      <c r="V169" s="24" t="str">
        <f>INDEX(TblApuracao[COMPETÊNCIA],1)</f>
        <v>2026-03</v>
      </c>
      <c r="W169" s="25">
        <f>SUMPRODUCT((TblApuracao[COLABORADOR]="Emanuelly Ribeiro de Aguiar")*(TblApuracao[COMPETÊNCIA]&lt;="2025-09")*(TblApuracao[SALDO MÊS (h:mm)]&gt;0)*TblApuracao[SALDO MÊS (h:mm)])</f>
        <v>0.6875</v>
      </c>
    </row>
    <row r="170" spans="1:23" ht="15" customHeight="1" x14ac:dyDescent="0.25">
      <c r="A170" s="18">
        <f t="shared" si="2"/>
        <v>168</v>
      </c>
      <c r="B170" s="34"/>
      <c r="C170" s="19" t="str">
        <f>IFERROR(
  INDEX(TblCadastro[SETOR],
    MATCH(TblApuracao[[#This Row],[COLABORADOR]],TblCadastro[NOME COMPLETO],0)
  ),
  "Não cadastrado"
)</f>
        <v>Não cadastrado</v>
      </c>
      <c r="D170" s="34"/>
      <c r="E17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0" s="18" t="str">
        <f>IFERROR(
  INDEX(TblCadastro[JORNADA ATUAL (h/dia)],
    MATCH(TblApuracao[[#This Row],[COLABORADOR]],TblCadastro[NOME COMPLETO],0)
  ),
  ""
)</f>
        <v/>
      </c>
      <c r="G170" s="18" t="str">
        <f>IFERROR(
  INDEX(TblCadastro[TRABALHA SÁB?],
    MATCH(TblApuracao[[#This Row],[COLABORADOR]],TblCadastro[NOME COMPLETO],0)
  ),
  ""
)</f>
        <v/>
      </c>
      <c r="H17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0" s="34"/>
      <c r="J170" s="34"/>
      <c r="K170" s="34"/>
      <c r="L170" s="21">
        <f>TblApuracao[[#This Row],[HRS EXTRAS (h:mm)]]-TblApuracao[[#This Row],[FALTAS/ATRASOS (h:mm)]]+TblApuracao[[#This Row],[AJUSTE MANUAL (h:mm)]]</f>
        <v>0</v>
      </c>
      <c r="M170" s="21">
        <f>SUMPRODUCT((TblApuracao[COLABORADOR]=TblApuracao[[#This Row],[COLABORADOR]])*(TblApuracao[COMPETÊNCIA]&lt;=TblApuracao[[#This Row],[COMPETÊNCIA]])*TblApuracao[HRS EXTRAS (h:mm)])</f>
        <v>0</v>
      </c>
      <c r="N170" s="21">
        <f>SUMPRODUCT((TblApuracao[COLABORADOR]=TblApuracao[[#This Row],[COLABORADOR]])*(TblApuracao[COMPETÊNCIA]&lt;=TblApuracao[[#This Row],[COMPETÊNCIA]])*TblApuracao[FALTAS/ATRASOS (h:mm)])</f>
        <v>0</v>
      </c>
      <c r="O170" s="21">
        <f>TblApuracao[[#This Row],[SALDO ANT. (h:mm)]]+TblApuracao[[#This Row],[SALDO MÊS (h:mm)]]</f>
        <v>0</v>
      </c>
      <c r="P170" s="24"/>
      <c r="Q170" s="24"/>
      <c r="R170" s="24"/>
      <c r="S170" s="24" t="str">
        <f>TblApuracao[[#This Row],[COLABORADOR]]&amp;TblApuracao[[#This Row],[COMPETÊNCIA]]</f>
        <v/>
      </c>
      <c r="T170" s="24">
        <f>ROW(TblApuracao[[#Headers],[COMPETÊNCIA]])</f>
        <v>2</v>
      </c>
      <c r="U170" s="24" t="str">
        <f>TblApuracao[[#This Row],[COLABORADOR]]&amp;TblApuracao[[#This Row],[COMPETÊNCIA]]</f>
        <v/>
      </c>
      <c r="V170" s="24" t="str">
        <f>INDEX(TblApuracao[COMPETÊNCIA],1)</f>
        <v>2026-03</v>
      </c>
      <c r="W170" s="25">
        <f>SUMPRODUCT((TblApuracao[COLABORADOR]="Emanuelly Ribeiro de Aguiar")*(TblApuracao[COMPETÊNCIA]&lt;="2025-09")*(TblApuracao[SALDO MÊS (h:mm)]&gt;0)*TblApuracao[SALDO MÊS (h:mm)])</f>
        <v>0.6875</v>
      </c>
    </row>
    <row r="171" spans="1:23" ht="15" customHeight="1" x14ac:dyDescent="0.25">
      <c r="A171" s="18">
        <f t="shared" si="2"/>
        <v>169</v>
      </c>
      <c r="B171" s="34"/>
      <c r="C171" s="19" t="str">
        <f>IFERROR(
  INDEX(TblCadastro[SETOR],
    MATCH(TblApuracao[[#This Row],[COLABORADOR]],TblCadastro[NOME COMPLETO],0)
  ),
  "Não cadastrado"
)</f>
        <v>Não cadastrado</v>
      </c>
      <c r="D171" s="34"/>
      <c r="E17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1" s="18" t="str">
        <f>IFERROR(
  INDEX(TblCadastro[JORNADA ATUAL (h/dia)],
    MATCH(TblApuracao[[#This Row],[COLABORADOR]],TblCadastro[NOME COMPLETO],0)
  ),
  ""
)</f>
        <v/>
      </c>
      <c r="G171" s="18" t="str">
        <f>IFERROR(
  INDEX(TblCadastro[TRABALHA SÁB?],
    MATCH(TblApuracao[[#This Row],[COLABORADOR]],TblCadastro[NOME COMPLETO],0)
  ),
  ""
)</f>
        <v/>
      </c>
      <c r="H17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1" s="34"/>
      <c r="J171" s="34"/>
      <c r="K171" s="34"/>
      <c r="L171" s="21">
        <f>TblApuracao[[#This Row],[HRS EXTRAS (h:mm)]]-TblApuracao[[#This Row],[FALTAS/ATRASOS (h:mm)]]+TblApuracao[[#This Row],[AJUSTE MANUAL (h:mm)]]</f>
        <v>0</v>
      </c>
      <c r="M171" s="21">
        <f>SUMPRODUCT((TblApuracao[COLABORADOR]=TblApuracao[[#This Row],[COLABORADOR]])*(TblApuracao[COMPETÊNCIA]&lt;=TblApuracao[[#This Row],[COMPETÊNCIA]])*TblApuracao[HRS EXTRAS (h:mm)])</f>
        <v>0</v>
      </c>
      <c r="N171" s="21">
        <f>SUMPRODUCT((TblApuracao[COLABORADOR]=TblApuracao[[#This Row],[COLABORADOR]])*(TblApuracao[COMPETÊNCIA]&lt;=TblApuracao[[#This Row],[COMPETÊNCIA]])*TblApuracao[FALTAS/ATRASOS (h:mm)])</f>
        <v>0</v>
      </c>
      <c r="O171" s="21">
        <f>TblApuracao[[#This Row],[SALDO ANT. (h:mm)]]+TblApuracao[[#This Row],[SALDO MÊS (h:mm)]]</f>
        <v>0</v>
      </c>
      <c r="P171" s="24"/>
      <c r="Q171" s="24"/>
      <c r="R171" s="24"/>
      <c r="S171" s="24" t="str">
        <f>TblApuracao[[#This Row],[COLABORADOR]]&amp;TblApuracao[[#This Row],[COMPETÊNCIA]]</f>
        <v/>
      </c>
      <c r="T171" s="24">
        <f>ROW(TblApuracao[[#Headers],[COMPETÊNCIA]])</f>
        <v>2</v>
      </c>
      <c r="U171" s="24" t="str">
        <f>TblApuracao[[#This Row],[COLABORADOR]]&amp;TblApuracao[[#This Row],[COMPETÊNCIA]]</f>
        <v/>
      </c>
      <c r="V171" s="24" t="str">
        <f>INDEX(TblApuracao[COMPETÊNCIA],1)</f>
        <v>2026-03</v>
      </c>
      <c r="W171" s="25">
        <f>SUMPRODUCT((TblApuracao[COLABORADOR]="Emanuelly Ribeiro de Aguiar")*(TblApuracao[COMPETÊNCIA]&lt;="2025-09")*(TblApuracao[SALDO MÊS (h:mm)]&gt;0)*TblApuracao[SALDO MÊS (h:mm)])</f>
        <v>0.6875</v>
      </c>
    </row>
    <row r="172" spans="1:23" ht="15" customHeight="1" x14ac:dyDescent="0.25">
      <c r="A172" s="18">
        <f t="shared" si="2"/>
        <v>170</v>
      </c>
      <c r="B172" s="34"/>
      <c r="C172" s="19" t="str">
        <f>IFERROR(
  INDEX(TblCadastro[SETOR],
    MATCH(TblApuracao[[#This Row],[COLABORADOR]],TblCadastro[NOME COMPLETO],0)
  ),
  "Não cadastrado"
)</f>
        <v>Não cadastrado</v>
      </c>
      <c r="D172" s="34"/>
      <c r="E17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2" s="18" t="str">
        <f>IFERROR(
  INDEX(TblCadastro[JORNADA ATUAL (h/dia)],
    MATCH(TblApuracao[[#This Row],[COLABORADOR]],TblCadastro[NOME COMPLETO],0)
  ),
  ""
)</f>
        <v/>
      </c>
      <c r="G172" s="18" t="str">
        <f>IFERROR(
  INDEX(TblCadastro[TRABALHA SÁB?],
    MATCH(TblApuracao[[#This Row],[COLABORADOR]],TblCadastro[NOME COMPLETO],0)
  ),
  ""
)</f>
        <v/>
      </c>
      <c r="H17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2" s="34"/>
      <c r="J172" s="34"/>
      <c r="K172" s="34"/>
      <c r="L172" s="21">
        <f>TblApuracao[[#This Row],[HRS EXTRAS (h:mm)]]-TblApuracao[[#This Row],[FALTAS/ATRASOS (h:mm)]]+TblApuracao[[#This Row],[AJUSTE MANUAL (h:mm)]]</f>
        <v>0</v>
      </c>
      <c r="M172" s="21">
        <f>SUMPRODUCT((TblApuracao[COLABORADOR]=TblApuracao[[#This Row],[COLABORADOR]])*(TblApuracao[COMPETÊNCIA]&lt;=TblApuracao[[#This Row],[COMPETÊNCIA]])*TblApuracao[HRS EXTRAS (h:mm)])</f>
        <v>0</v>
      </c>
      <c r="N172" s="21">
        <f>SUMPRODUCT((TblApuracao[COLABORADOR]=TblApuracao[[#This Row],[COLABORADOR]])*(TblApuracao[COMPETÊNCIA]&lt;=TblApuracao[[#This Row],[COMPETÊNCIA]])*TblApuracao[FALTAS/ATRASOS (h:mm)])</f>
        <v>0</v>
      </c>
      <c r="O172" s="21">
        <f>TblApuracao[[#This Row],[SALDO ANT. (h:mm)]]+TblApuracao[[#This Row],[SALDO MÊS (h:mm)]]</f>
        <v>0</v>
      </c>
      <c r="P172" s="24"/>
      <c r="Q172" s="24"/>
      <c r="R172" s="24"/>
      <c r="S172" s="24" t="str">
        <f>TblApuracao[[#This Row],[COLABORADOR]]&amp;TblApuracao[[#This Row],[COMPETÊNCIA]]</f>
        <v/>
      </c>
      <c r="T172" s="24">
        <f>ROW(TblApuracao[[#Headers],[COMPETÊNCIA]])</f>
        <v>2</v>
      </c>
      <c r="U172" s="24" t="str">
        <f>TblApuracao[[#This Row],[COLABORADOR]]&amp;TblApuracao[[#This Row],[COMPETÊNCIA]]</f>
        <v/>
      </c>
      <c r="V172" s="24" t="str">
        <f>INDEX(TblApuracao[COMPETÊNCIA],1)</f>
        <v>2026-03</v>
      </c>
      <c r="W172" s="25">
        <f>SUMPRODUCT((TblApuracao[COLABORADOR]="Emanuelly Ribeiro de Aguiar")*(TblApuracao[COMPETÊNCIA]&lt;="2025-09")*(TblApuracao[SALDO MÊS (h:mm)]&gt;0)*TblApuracao[SALDO MÊS (h:mm)])</f>
        <v>0.6875</v>
      </c>
    </row>
    <row r="173" spans="1:23" ht="15" customHeight="1" x14ac:dyDescent="0.25">
      <c r="A173" s="18">
        <f t="shared" si="2"/>
        <v>171</v>
      </c>
      <c r="B173" s="34"/>
      <c r="C173" s="19" t="str">
        <f>IFERROR(
  INDEX(TblCadastro[SETOR],
    MATCH(TblApuracao[[#This Row],[COLABORADOR]],TblCadastro[NOME COMPLETO],0)
  ),
  "Não cadastrado"
)</f>
        <v>Não cadastrado</v>
      </c>
      <c r="D173" s="34"/>
      <c r="E17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3" s="18" t="str">
        <f>IFERROR(
  INDEX(TblCadastro[JORNADA ATUAL (h/dia)],
    MATCH(TblApuracao[[#This Row],[COLABORADOR]],TblCadastro[NOME COMPLETO],0)
  ),
  ""
)</f>
        <v/>
      </c>
      <c r="G173" s="18" t="str">
        <f>IFERROR(
  INDEX(TblCadastro[TRABALHA SÁB?],
    MATCH(TblApuracao[[#This Row],[COLABORADOR]],TblCadastro[NOME COMPLETO],0)
  ),
  ""
)</f>
        <v/>
      </c>
      <c r="H17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3" s="34"/>
      <c r="J173" s="34"/>
      <c r="K173" s="34"/>
      <c r="L173" s="21">
        <f>TblApuracao[[#This Row],[HRS EXTRAS (h:mm)]]-TblApuracao[[#This Row],[FALTAS/ATRASOS (h:mm)]]+TblApuracao[[#This Row],[AJUSTE MANUAL (h:mm)]]</f>
        <v>0</v>
      </c>
      <c r="M173" s="21">
        <f>SUMPRODUCT((TblApuracao[COLABORADOR]=TblApuracao[[#This Row],[COLABORADOR]])*(TblApuracao[COMPETÊNCIA]&lt;=TblApuracao[[#This Row],[COMPETÊNCIA]])*TblApuracao[HRS EXTRAS (h:mm)])</f>
        <v>0</v>
      </c>
      <c r="N173" s="21">
        <f>SUMPRODUCT((TblApuracao[COLABORADOR]=TblApuracao[[#This Row],[COLABORADOR]])*(TblApuracao[COMPETÊNCIA]&lt;=TblApuracao[[#This Row],[COMPETÊNCIA]])*TblApuracao[FALTAS/ATRASOS (h:mm)])</f>
        <v>0</v>
      </c>
      <c r="O173" s="21">
        <f>TblApuracao[[#This Row],[SALDO ANT. (h:mm)]]+TblApuracao[[#This Row],[SALDO MÊS (h:mm)]]</f>
        <v>0</v>
      </c>
      <c r="P173" s="24"/>
      <c r="Q173" s="24"/>
      <c r="R173" s="24"/>
      <c r="S173" s="24" t="str">
        <f>TblApuracao[[#This Row],[COLABORADOR]]&amp;TblApuracao[[#This Row],[COMPETÊNCIA]]</f>
        <v/>
      </c>
      <c r="T173" s="24">
        <f>ROW(TblApuracao[[#Headers],[COMPETÊNCIA]])</f>
        <v>2</v>
      </c>
      <c r="U173" s="24" t="str">
        <f>TblApuracao[[#This Row],[COLABORADOR]]&amp;TblApuracao[[#This Row],[COMPETÊNCIA]]</f>
        <v/>
      </c>
      <c r="V173" s="24" t="str">
        <f>INDEX(TblApuracao[COMPETÊNCIA],1)</f>
        <v>2026-03</v>
      </c>
      <c r="W173" s="25">
        <f>SUMPRODUCT((TblApuracao[COLABORADOR]="Emanuelly Ribeiro de Aguiar")*(TblApuracao[COMPETÊNCIA]&lt;="2025-09")*(TblApuracao[SALDO MÊS (h:mm)]&gt;0)*TblApuracao[SALDO MÊS (h:mm)])</f>
        <v>0.6875</v>
      </c>
    </row>
    <row r="174" spans="1:23" ht="15" customHeight="1" x14ac:dyDescent="0.25">
      <c r="A174" s="18">
        <f t="shared" si="2"/>
        <v>172</v>
      </c>
      <c r="B174" s="34"/>
      <c r="C174" s="19" t="str">
        <f>IFERROR(
  INDEX(TblCadastro[SETOR],
    MATCH(TblApuracao[[#This Row],[COLABORADOR]],TblCadastro[NOME COMPLETO],0)
  ),
  "Não cadastrado"
)</f>
        <v>Não cadastrado</v>
      </c>
      <c r="D174" s="34"/>
      <c r="E17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4" s="18" t="str">
        <f>IFERROR(
  INDEX(TblCadastro[JORNADA ATUAL (h/dia)],
    MATCH(TblApuracao[[#This Row],[COLABORADOR]],TblCadastro[NOME COMPLETO],0)
  ),
  ""
)</f>
        <v/>
      </c>
      <c r="G174" s="18" t="str">
        <f>IFERROR(
  INDEX(TblCadastro[TRABALHA SÁB?],
    MATCH(TblApuracao[[#This Row],[COLABORADOR]],TblCadastro[NOME COMPLETO],0)
  ),
  ""
)</f>
        <v/>
      </c>
      <c r="H17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4" s="34"/>
      <c r="J174" s="34"/>
      <c r="K174" s="34"/>
      <c r="L174" s="21">
        <f>TblApuracao[[#This Row],[HRS EXTRAS (h:mm)]]-TblApuracao[[#This Row],[FALTAS/ATRASOS (h:mm)]]+TblApuracao[[#This Row],[AJUSTE MANUAL (h:mm)]]</f>
        <v>0</v>
      </c>
      <c r="M174" s="21">
        <f>SUMPRODUCT((TblApuracao[COLABORADOR]=TblApuracao[[#This Row],[COLABORADOR]])*(TblApuracao[COMPETÊNCIA]&lt;=TblApuracao[[#This Row],[COMPETÊNCIA]])*TblApuracao[HRS EXTRAS (h:mm)])</f>
        <v>0</v>
      </c>
      <c r="N174" s="21">
        <f>SUMPRODUCT((TblApuracao[COLABORADOR]=TblApuracao[[#This Row],[COLABORADOR]])*(TblApuracao[COMPETÊNCIA]&lt;=TblApuracao[[#This Row],[COMPETÊNCIA]])*TblApuracao[FALTAS/ATRASOS (h:mm)])</f>
        <v>0</v>
      </c>
      <c r="O174" s="21">
        <f>TblApuracao[[#This Row],[SALDO ANT. (h:mm)]]+TblApuracao[[#This Row],[SALDO MÊS (h:mm)]]</f>
        <v>0</v>
      </c>
      <c r="P174" s="24"/>
      <c r="Q174" s="24"/>
      <c r="R174" s="24"/>
      <c r="S174" s="24" t="str">
        <f>TblApuracao[[#This Row],[COLABORADOR]]&amp;TblApuracao[[#This Row],[COMPETÊNCIA]]</f>
        <v/>
      </c>
      <c r="T174" s="24">
        <f>ROW(TblApuracao[[#Headers],[COMPETÊNCIA]])</f>
        <v>2</v>
      </c>
      <c r="U174" s="24" t="str">
        <f>TblApuracao[[#This Row],[COLABORADOR]]&amp;TblApuracao[[#This Row],[COMPETÊNCIA]]</f>
        <v/>
      </c>
      <c r="V174" s="24" t="str">
        <f>INDEX(TblApuracao[COMPETÊNCIA],1)</f>
        <v>2026-03</v>
      </c>
      <c r="W174" s="25">
        <f>SUMPRODUCT((TblApuracao[COLABORADOR]="Emanuelly Ribeiro de Aguiar")*(TblApuracao[COMPETÊNCIA]&lt;="2025-09")*(TblApuracao[SALDO MÊS (h:mm)]&gt;0)*TblApuracao[SALDO MÊS (h:mm)])</f>
        <v>0.6875</v>
      </c>
    </row>
    <row r="175" spans="1:23" ht="15" customHeight="1" x14ac:dyDescent="0.25">
      <c r="A175" s="18">
        <f t="shared" si="2"/>
        <v>173</v>
      </c>
      <c r="B175" s="34"/>
      <c r="C175" s="19" t="str">
        <f>IFERROR(
  INDEX(TblCadastro[SETOR],
    MATCH(TblApuracao[[#This Row],[COLABORADOR]],TblCadastro[NOME COMPLETO],0)
  ),
  "Não cadastrado"
)</f>
        <v>Não cadastrado</v>
      </c>
      <c r="D175" s="34"/>
      <c r="E17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5" s="18" t="str">
        <f>IFERROR(
  INDEX(TblCadastro[JORNADA ATUAL (h/dia)],
    MATCH(TblApuracao[[#This Row],[COLABORADOR]],TblCadastro[NOME COMPLETO],0)
  ),
  ""
)</f>
        <v/>
      </c>
      <c r="G175" s="18" t="str">
        <f>IFERROR(
  INDEX(TblCadastro[TRABALHA SÁB?],
    MATCH(TblApuracao[[#This Row],[COLABORADOR]],TblCadastro[NOME COMPLETO],0)
  ),
  ""
)</f>
        <v/>
      </c>
      <c r="H17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5" s="34"/>
      <c r="J175" s="34"/>
      <c r="K175" s="34"/>
      <c r="L175" s="21">
        <f>TblApuracao[[#This Row],[HRS EXTRAS (h:mm)]]-TblApuracao[[#This Row],[FALTAS/ATRASOS (h:mm)]]+TblApuracao[[#This Row],[AJUSTE MANUAL (h:mm)]]</f>
        <v>0</v>
      </c>
      <c r="M175" s="21">
        <f>SUMPRODUCT((TblApuracao[COLABORADOR]=TblApuracao[[#This Row],[COLABORADOR]])*(TblApuracao[COMPETÊNCIA]&lt;=TblApuracao[[#This Row],[COMPETÊNCIA]])*TblApuracao[HRS EXTRAS (h:mm)])</f>
        <v>0</v>
      </c>
      <c r="N175" s="21">
        <f>SUMPRODUCT((TblApuracao[COLABORADOR]=TblApuracao[[#This Row],[COLABORADOR]])*(TblApuracao[COMPETÊNCIA]&lt;=TblApuracao[[#This Row],[COMPETÊNCIA]])*TblApuracao[FALTAS/ATRASOS (h:mm)])</f>
        <v>0</v>
      </c>
      <c r="O175" s="21">
        <f>TblApuracao[[#This Row],[SALDO ANT. (h:mm)]]+TblApuracao[[#This Row],[SALDO MÊS (h:mm)]]</f>
        <v>0</v>
      </c>
      <c r="P175" s="24"/>
      <c r="Q175" s="24"/>
      <c r="R175" s="24"/>
      <c r="S175" s="24" t="str">
        <f>TblApuracao[[#This Row],[COLABORADOR]]&amp;TblApuracao[[#This Row],[COMPETÊNCIA]]</f>
        <v/>
      </c>
      <c r="T175" s="24">
        <f>ROW(TblApuracao[[#Headers],[COMPETÊNCIA]])</f>
        <v>2</v>
      </c>
      <c r="U175" s="24" t="str">
        <f>TblApuracao[[#This Row],[COLABORADOR]]&amp;TblApuracao[[#This Row],[COMPETÊNCIA]]</f>
        <v/>
      </c>
      <c r="V175" s="24" t="str">
        <f>INDEX(TblApuracao[COMPETÊNCIA],1)</f>
        <v>2026-03</v>
      </c>
      <c r="W175" s="25">
        <f>SUMPRODUCT((TblApuracao[COLABORADOR]="Emanuelly Ribeiro de Aguiar")*(TblApuracao[COMPETÊNCIA]&lt;="2025-09")*(TblApuracao[SALDO MÊS (h:mm)]&gt;0)*TblApuracao[SALDO MÊS (h:mm)])</f>
        <v>0.6875</v>
      </c>
    </row>
    <row r="176" spans="1:23" ht="15" customHeight="1" x14ac:dyDescent="0.25">
      <c r="A176" s="18">
        <f t="shared" si="2"/>
        <v>174</v>
      </c>
      <c r="B176" s="34"/>
      <c r="C176" s="19" t="str">
        <f>IFERROR(
  INDEX(TblCadastro[SETOR],
    MATCH(TblApuracao[[#This Row],[COLABORADOR]],TblCadastro[NOME COMPLETO],0)
  ),
  "Não cadastrado"
)</f>
        <v>Não cadastrado</v>
      </c>
      <c r="D176" s="34"/>
      <c r="E17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6" s="18" t="str">
        <f>IFERROR(
  INDEX(TblCadastro[JORNADA ATUAL (h/dia)],
    MATCH(TblApuracao[[#This Row],[COLABORADOR]],TblCadastro[NOME COMPLETO],0)
  ),
  ""
)</f>
        <v/>
      </c>
      <c r="G176" s="18" t="str">
        <f>IFERROR(
  INDEX(TblCadastro[TRABALHA SÁB?],
    MATCH(TblApuracao[[#This Row],[COLABORADOR]],TblCadastro[NOME COMPLETO],0)
  ),
  ""
)</f>
        <v/>
      </c>
      <c r="H17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6" s="34"/>
      <c r="J176" s="34"/>
      <c r="K176" s="34"/>
      <c r="L176" s="21">
        <f>TblApuracao[[#This Row],[HRS EXTRAS (h:mm)]]-TblApuracao[[#This Row],[FALTAS/ATRASOS (h:mm)]]+TblApuracao[[#This Row],[AJUSTE MANUAL (h:mm)]]</f>
        <v>0</v>
      </c>
      <c r="M176" s="21">
        <f>SUMPRODUCT((TblApuracao[COLABORADOR]=TblApuracao[[#This Row],[COLABORADOR]])*(TblApuracao[COMPETÊNCIA]&lt;=TblApuracao[[#This Row],[COMPETÊNCIA]])*TblApuracao[HRS EXTRAS (h:mm)])</f>
        <v>0</v>
      </c>
      <c r="N176" s="21">
        <f>SUMPRODUCT((TblApuracao[COLABORADOR]=TblApuracao[[#This Row],[COLABORADOR]])*(TblApuracao[COMPETÊNCIA]&lt;=TblApuracao[[#This Row],[COMPETÊNCIA]])*TblApuracao[FALTAS/ATRASOS (h:mm)])</f>
        <v>0</v>
      </c>
      <c r="O176" s="21">
        <f>TblApuracao[[#This Row],[SALDO ANT. (h:mm)]]+TblApuracao[[#This Row],[SALDO MÊS (h:mm)]]</f>
        <v>0</v>
      </c>
      <c r="P176" s="24"/>
      <c r="Q176" s="24"/>
      <c r="R176" s="24"/>
      <c r="S176" s="24" t="str">
        <f>TblApuracao[[#This Row],[COLABORADOR]]&amp;TblApuracao[[#This Row],[COMPETÊNCIA]]</f>
        <v/>
      </c>
      <c r="T176" s="24">
        <f>ROW(TblApuracao[[#Headers],[COMPETÊNCIA]])</f>
        <v>2</v>
      </c>
      <c r="U176" s="24" t="str">
        <f>TblApuracao[[#This Row],[COLABORADOR]]&amp;TblApuracao[[#This Row],[COMPETÊNCIA]]</f>
        <v/>
      </c>
      <c r="V176" s="24" t="str">
        <f>INDEX(TblApuracao[COMPETÊNCIA],1)</f>
        <v>2026-03</v>
      </c>
      <c r="W176" s="25">
        <f>SUMPRODUCT((TblApuracao[COLABORADOR]="Emanuelly Ribeiro de Aguiar")*(TblApuracao[COMPETÊNCIA]&lt;="2025-09")*(TblApuracao[SALDO MÊS (h:mm)]&gt;0)*TblApuracao[SALDO MÊS (h:mm)])</f>
        <v>0.6875</v>
      </c>
    </row>
    <row r="177" spans="1:23" ht="15" customHeight="1" x14ac:dyDescent="0.25">
      <c r="A177" s="18">
        <f t="shared" si="2"/>
        <v>175</v>
      </c>
      <c r="B177" s="34"/>
      <c r="C177" s="19" t="str">
        <f>IFERROR(
  INDEX(TblCadastro[SETOR],
    MATCH(TblApuracao[[#This Row],[COLABORADOR]],TblCadastro[NOME COMPLETO],0)
  ),
  "Não cadastrado"
)</f>
        <v>Não cadastrado</v>
      </c>
      <c r="D177" s="34"/>
      <c r="E17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7" s="18" t="str">
        <f>IFERROR(
  INDEX(TblCadastro[JORNADA ATUAL (h/dia)],
    MATCH(TblApuracao[[#This Row],[COLABORADOR]],TblCadastro[NOME COMPLETO],0)
  ),
  ""
)</f>
        <v/>
      </c>
      <c r="G177" s="18" t="str">
        <f>IFERROR(
  INDEX(TblCadastro[TRABALHA SÁB?],
    MATCH(TblApuracao[[#This Row],[COLABORADOR]],TblCadastro[NOME COMPLETO],0)
  ),
  ""
)</f>
        <v/>
      </c>
      <c r="H17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7" s="34"/>
      <c r="J177" s="34"/>
      <c r="K177" s="34"/>
      <c r="L177" s="21">
        <f>TblApuracao[[#This Row],[HRS EXTRAS (h:mm)]]-TblApuracao[[#This Row],[FALTAS/ATRASOS (h:mm)]]+TblApuracao[[#This Row],[AJUSTE MANUAL (h:mm)]]</f>
        <v>0</v>
      </c>
      <c r="M177" s="21">
        <f>SUMPRODUCT((TblApuracao[COLABORADOR]=TblApuracao[[#This Row],[COLABORADOR]])*(TblApuracao[COMPETÊNCIA]&lt;=TblApuracao[[#This Row],[COMPETÊNCIA]])*TblApuracao[HRS EXTRAS (h:mm)])</f>
        <v>0</v>
      </c>
      <c r="N177" s="21">
        <f>SUMPRODUCT((TblApuracao[COLABORADOR]=TblApuracao[[#This Row],[COLABORADOR]])*(TblApuracao[COMPETÊNCIA]&lt;=TblApuracao[[#This Row],[COMPETÊNCIA]])*TblApuracao[FALTAS/ATRASOS (h:mm)])</f>
        <v>0</v>
      </c>
      <c r="O177" s="21">
        <f>TblApuracao[[#This Row],[SALDO ANT. (h:mm)]]+TblApuracao[[#This Row],[SALDO MÊS (h:mm)]]</f>
        <v>0</v>
      </c>
      <c r="P177" s="24"/>
      <c r="Q177" s="24"/>
      <c r="R177" s="24"/>
      <c r="S177" s="24" t="str">
        <f>TblApuracao[[#This Row],[COLABORADOR]]&amp;TblApuracao[[#This Row],[COMPETÊNCIA]]</f>
        <v/>
      </c>
      <c r="T177" s="24">
        <f>ROW(TblApuracao[[#Headers],[COMPETÊNCIA]])</f>
        <v>2</v>
      </c>
      <c r="U177" s="24" t="str">
        <f>TblApuracao[[#This Row],[COLABORADOR]]&amp;TblApuracao[[#This Row],[COMPETÊNCIA]]</f>
        <v/>
      </c>
      <c r="V177" s="24" t="str">
        <f>INDEX(TblApuracao[COMPETÊNCIA],1)</f>
        <v>2026-03</v>
      </c>
      <c r="W177" s="25">
        <f>SUMPRODUCT((TblApuracao[COLABORADOR]="Emanuelly Ribeiro de Aguiar")*(TblApuracao[COMPETÊNCIA]&lt;="2025-09")*(TblApuracao[SALDO MÊS (h:mm)]&gt;0)*TblApuracao[SALDO MÊS (h:mm)])</f>
        <v>0.6875</v>
      </c>
    </row>
    <row r="178" spans="1:23" ht="15" customHeight="1" x14ac:dyDescent="0.25">
      <c r="A178" s="18">
        <f t="shared" si="2"/>
        <v>176</v>
      </c>
      <c r="B178" s="34"/>
      <c r="C178" s="19" t="str">
        <f>IFERROR(
  INDEX(TblCadastro[SETOR],
    MATCH(TblApuracao[[#This Row],[COLABORADOR]],TblCadastro[NOME COMPLETO],0)
  ),
  "Não cadastrado"
)</f>
        <v>Não cadastrado</v>
      </c>
      <c r="D178" s="34"/>
      <c r="E17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8" s="18" t="str">
        <f>IFERROR(
  INDEX(TblCadastro[JORNADA ATUAL (h/dia)],
    MATCH(TblApuracao[[#This Row],[COLABORADOR]],TblCadastro[NOME COMPLETO],0)
  ),
  ""
)</f>
        <v/>
      </c>
      <c r="G178" s="18" t="str">
        <f>IFERROR(
  INDEX(TblCadastro[TRABALHA SÁB?],
    MATCH(TblApuracao[[#This Row],[COLABORADOR]],TblCadastro[NOME COMPLETO],0)
  ),
  ""
)</f>
        <v/>
      </c>
      <c r="H17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8" s="34"/>
      <c r="J178" s="34"/>
      <c r="K178" s="34"/>
      <c r="L178" s="21">
        <f>TblApuracao[[#This Row],[HRS EXTRAS (h:mm)]]-TblApuracao[[#This Row],[FALTAS/ATRASOS (h:mm)]]+TblApuracao[[#This Row],[AJUSTE MANUAL (h:mm)]]</f>
        <v>0</v>
      </c>
      <c r="M178" s="21">
        <f>SUMPRODUCT((TblApuracao[COLABORADOR]=TblApuracao[[#This Row],[COLABORADOR]])*(TblApuracao[COMPETÊNCIA]&lt;=TblApuracao[[#This Row],[COMPETÊNCIA]])*TblApuracao[HRS EXTRAS (h:mm)])</f>
        <v>0</v>
      </c>
      <c r="N178" s="21">
        <f>SUMPRODUCT((TblApuracao[COLABORADOR]=TblApuracao[[#This Row],[COLABORADOR]])*(TblApuracao[COMPETÊNCIA]&lt;=TblApuracao[[#This Row],[COMPETÊNCIA]])*TblApuracao[FALTAS/ATRASOS (h:mm)])</f>
        <v>0</v>
      </c>
      <c r="O178" s="21">
        <f>TblApuracao[[#This Row],[SALDO ANT. (h:mm)]]+TblApuracao[[#This Row],[SALDO MÊS (h:mm)]]</f>
        <v>0</v>
      </c>
      <c r="P178" s="24"/>
      <c r="Q178" s="24"/>
      <c r="R178" s="24"/>
      <c r="S178" s="24" t="str">
        <f>TblApuracao[[#This Row],[COLABORADOR]]&amp;TblApuracao[[#This Row],[COMPETÊNCIA]]</f>
        <v/>
      </c>
      <c r="T178" s="24">
        <f>ROW(TblApuracao[[#Headers],[COMPETÊNCIA]])</f>
        <v>2</v>
      </c>
      <c r="U178" s="24" t="str">
        <f>TblApuracao[[#This Row],[COLABORADOR]]&amp;TblApuracao[[#This Row],[COMPETÊNCIA]]</f>
        <v/>
      </c>
      <c r="V178" s="24" t="str">
        <f>INDEX(TblApuracao[COMPETÊNCIA],1)</f>
        <v>2026-03</v>
      </c>
      <c r="W178" s="25">
        <f>SUMPRODUCT((TblApuracao[COLABORADOR]="Emanuelly Ribeiro de Aguiar")*(TblApuracao[COMPETÊNCIA]&lt;="2025-09")*(TblApuracao[SALDO MÊS (h:mm)]&gt;0)*TblApuracao[SALDO MÊS (h:mm)])</f>
        <v>0.6875</v>
      </c>
    </row>
    <row r="179" spans="1:23" ht="15" customHeight="1" x14ac:dyDescent="0.25">
      <c r="A179" s="18">
        <f t="shared" si="2"/>
        <v>177</v>
      </c>
      <c r="B179" s="34"/>
      <c r="C179" s="19" t="str">
        <f>IFERROR(
  INDEX(TblCadastro[SETOR],
    MATCH(TblApuracao[[#This Row],[COLABORADOR]],TblCadastro[NOME COMPLETO],0)
  ),
  "Não cadastrado"
)</f>
        <v>Não cadastrado</v>
      </c>
      <c r="D179" s="34"/>
      <c r="E17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9" s="18" t="str">
        <f>IFERROR(
  INDEX(TblCadastro[JORNADA ATUAL (h/dia)],
    MATCH(TblApuracao[[#This Row],[COLABORADOR]],TblCadastro[NOME COMPLETO],0)
  ),
  ""
)</f>
        <v/>
      </c>
      <c r="G179" s="18" t="str">
        <f>IFERROR(
  INDEX(TblCadastro[TRABALHA SÁB?],
    MATCH(TblApuracao[[#This Row],[COLABORADOR]],TblCadastro[NOME COMPLETO],0)
  ),
  ""
)</f>
        <v/>
      </c>
      <c r="H17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9" s="34"/>
      <c r="J179" s="34"/>
      <c r="K179" s="34"/>
      <c r="L179" s="21">
        <f>TblApuracao[[#This Row],[HRS EXTRAS (h:mm)]]-TblApuracao[[#This Row],[FALTAS/ATRASOS (h:mm)]]+TblApuracao[[#This Row],[AJUSTE MANUAL (h:mm)]]</f>
        <v>0</v>
      </c>
      <c r="M179" s="21">
        <f>SUMPRODUCT((TblApuracao[COLABORADOR]=TblApuracao[[#This Row],[COLABORADOR]])*(TblApuracao[COMPETÊNCIA]&lt;=TblApuracao[[#This Row],[COMPETÊNCIA]])*TblApuracao[HRS EXTRAS (h:mm)])</f>
        <v>0</v>
      </c>
      <c r="N179" s="21">
        <f>SUMPRODUCT((TblApuracao[COLABORADOR]=TblApuracao[[#This Row],[COLABORADOR]])*(TblApuracao[COMPETÊNCIA]&lt;=TblApuracao[[#This Row],[COMPETÊNCIA]])*TblApuracao[FALTAS/ATRASOS (h:mm)])</f>
        <v>0</v>
      </c>
      <c r="O179" s="21">
        <f>TblApuracao[[#This Row],[SALDO ANT. (h:mm)]]+TblApuracao[[#This Row],[SALDO MÊS (h:mm)]]</f>
        <v>0</v>
      </c>
      <c r="P179" s="24"/>
      <c r="Q179" s="24"/>
      <c r="R179" s="24"/>
      <c r="S179" s="24" t="str">
        <f>TblApuracao[[#This Row],[COLABORADOR]]&amp;TblApuracao[[#This Row],[COMPETÊNCIA]]</f>
        <v/>
      </c>
      <c r="T179" s="24">
        <f>ROW(TblApuracao[[#Headers],[COMPETÊNCIA]])</f>
        <v>2</v>
      </c>
      <c r="U179" s="24" t="str">
        <f>TblApuracao[[#This Row],[COLABORADOR]]&amp;TblApuracao[[#This Row],[COMPETÊNCIA]]</f>
        <v/>
      </c>
      <c r="V179" s="24" t="str">
        <f>INDEX(TblApuracao[COMPETÊNCIA],1)</f>
        <v>2026-03</v>
      </c>
      <c r="W179" s="25">
        <f>SUMPRODUCT((TblApuracao[COLABORADOR]="Emanuelly Ribeiro de Aguiar")*(TblApuracao[COMPETÊNCIA]&lt;="2025-09")*(TblApuracao[SALDO MÊS (h:mm)]&gt;0)*TblApuracao[SALDO MÊS (h:mm)])</f>
        <v>0.6875</v>
      </c>
    </row>
    <row r="180" spans="1:23" ht="15" customHeight="1" x14ac:dyDescent="0.25">
      <c r="A180" s="18">
        <f t="shared" si="2"/>
        <v>178</v>
      </c>
      <c r="B180" s="34"/>
      <c r="C180" s="19" t="str">
        <f>IFERROR(
  INDEX(TblCadastro[SETOR],
    MATCH(TblApuracao[[#This Row],[COLABORADOR]],TblCadastro[NOME COMPLETO],0)
  ),
  "Não cadastrado"
)</f>
        <v>Não cadastrado</v>
      </c>
      <c r="D180" s="34"/>
      <c r="E18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0" s="18" t="str">
        <f>IFERROR(
  INDEX(TblCadastro[JORNADA ATUAL (h/dia)],
    MATCH(TblApuracao[[#This Row],[COLABORADOR]],TblCadastro[NOME COMPLETO],0)
  ),
  ""
)</f>
        <v/>
      </c>
      <c r="G180" s="18" t="str">
        <f>IFERROR(
  INDEX(TblCadastro[TRABALHA SÁB?],
    MATCH(TblApuracao[[#This Row],[COLABORADOR]],TblCadastro[NOME COMPLETO],0)
  ),
  ""
)</f>
        <v/>
      </c>
      <c r="H18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0" s="34"/>
      <c r="J180" s="34"/>
      <c r="K180" s="34"/>
      <c r="L180" s="21">
        <f>TblApuracao[[#This Row],[HRS EXTRAS (h:mm)]]-TblApuracao[[#This Row],[FALTAS/ATRASOS (h:mm)]]+TblApuracao[[#This Row],[AJUSTE MANUAL (h:mm)]]</f>
        <v>0</v>
      </c>
      <c r="M180" s="21">
        <f>SUMPRODUCT((TblApuracao[COLABORADOR]=TblApuracao[[#This Row],[COLABORADOR]])*(TblApuracao[COMPETÊNCIA]&lt;=TblApuracao[[#This Row],[COMPETÊNCIA]])*TblApuracao[HRS EXTRAS (h:mm)])</f>
        <v>0</v>
      </c>
      <c r="N180" s="21">
        <f>SUMPRODUCT((TblApuracao[COLABORADOR]=TblApuracao[[#This Row],[COLABORADOR]])*(TblApuracao[COMPETÊNCIA]&lt;=TblApuracao[[#This Row],[COMPETÊNCIA]])*TblApuracao[FALTAS/ATRASOS (h:mm)])</f>
        <v>0</v>
      </c>
      <c r="O180" s="21">
        <f>TblApuracao[[#This Row],[SALDO ANT. (h:mm)]]+TblApuracao[[#This Row],[SALDO MÊS (h:mm)]]</f>
        <v>0</v>
      </c>
      <c r="P180" s="24"/>
      <c r="Q180" s="24"/>
      <c r="R180" s="24"/>
      <c r="S180" s="24" t="str">
        <f>TblApuracao[[#This Row],[COLABORADOR]]&amp;TblApuracao[[#This Row],[COMPETÊNCIA]]</f>
        <v/>
      </c>
      <c r="T180" s="24">
        <f>ROW(TblApuracao[[#Headers],[COMPETÊNCIA]])</f>
        <v>2</v>
      </c>
      <c r="U180" s="24" t="str">
        <f>TblApuracao[[#This Row],[COLABORADOR]]&amp;TblApuracao[[#This Row],[COMPETÊNCIA]]</f>
        <v/>
      </c>
      <c r="V180" s="24" t="str">
        <f>INDEX(TblApuracao[COMPETÊNCIA],1)</f>
        <v>2026-03</v>
      </c>
      <c r="W180" s="25">
        <f>SUMPRODUCT((TblApuracao[COLABORADOR]="Emanuelly Ribeiro de Aguiar")*(TblApuracao[COMPETÊNCIA]&lt;="2025-09")*(TblApuracao[SALDO MÊS (h:mm)]&gt;0)*TblApuracao[SALDO MÊS (h:mm)])</f>
        <v>0.6875</v>
      </c>
    </row>
    <row r="181" spans="1:23" ht="15" customHeight="1" x14ac:dyDescent="0.25">
      <c r="A181" s="18">
        <f t="shared" si="2"/>
        <v>179</v>
      </c>
      <c r="B181" s="34"/>
      <c r="C181" s="19" t="str">
        <f>IFERROR(
  INDEX(TblCadastro[SETOR],
    MATCH(TblApuracao[[#This Row],[COLABORADOR]],TblCadastro[NOME COMPLETO],0)
  ),
  "Não cadastrado"
)</f>
        <v>Não cadastrado</v>
      </c>
      <c r="D181" s="34"/>
      <c r="E18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1" s="18" t="str">
        <f>IFERROR(
  INDEX(TblCadastro[JORNADA ATUAL (h/dia)],
    MATCH(TblApuracao[[#This Row],[COLABORADOR]],TblCadastro[NOME COMPLETO],0)
  ),
  ""
)</f>
        <v/>
      </c>
      <c r="G181" s="18" t="str">
        <f>IFERROR(
  INDEX(TblCadastro[TRABALHA SÁB?],
    MATCH(TblApuracao[[#This Row],[COLABORADOR]],TblCadastro[NOME COMPLETO],0)
  ),
  ""
)</f>
        <v/>
      </c>
      <c r="H18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1" s="34"/>
      <c r="J181" s="34"/>
      <c r="K181" s="34"/>
      <c r="L181" s="21">
        <f>TblApuracao[[#This Row],[HRS EXTRAS (h:mm)]]-TblApuracao[[#This Row],[FALTAS/ATRASOS (h:mm)]]+TblApuracao[[#This Row],[AJUSTE MANUAL (h:mm)]]</f>
        <v>0</v>
      </c>
      <c r="M181" s="21">
        <f>SUMPRODUCT((TblApuracao[COLABORADOR]=TblApuracao[[#This Row],[COLABORADOR]])*(TblApuracao[COMPETÊNCIA]&lt;=TblApuracao[[#This Row],[COMPETÊNCIA]])*TblApuracao[HRS EXTRAS (h:mm)])</f>
        <v>0</v>
      </c>
      <c r="N181" s="21">
        <f>SUMPRODUCT((TblApuracao[COLABORADOR]=TblApuracao[[#This Row],[COLABORADOR]])*(TblApuracao[COMPETÊNCIA]&lt;=TblApuracao[[#This Row],[COMPETÊNCIA]])*TblApuracao[FALTAS/ATRASOS (h:mm)])</f>
        <v>0</v>
      </c>
      <c r="O181" s="21">
        <f>TblApuracao[[#This Row],[SALDO ANT. (h:mm)]]+TblApuracao[[#This Row],[SALDO MÊS (h:mm)]]</f>
        <v>0</v>
      </c>
      <c r="P181" s="24"/>
      <c r="Q181" s="24"/>
      <c r="R181" s="24"/>
      <c r="S181" s="24" t="str">
        <f>TblApuracao[[#This Row],[COLABORADOR]]&amp;TblApuracao[[#This Row],[COMPETÊNCIA]]</f>
        <v/>
      </c>
      <c r="T181" s="24">
        <f>ROW(TblApuracao[[#Headers],[COMPETÊNCIA]])</f>
        <v>2</v>
      </c>
      <c r="U181" s="24" t="str">
        <f>TblApuracao[[#This Row],[COLABORADOR]]&amp;TblApuracao[[#This Row],[COMPETÊNCIA]]</f>
        <v/>
      </c>
      <c r="V181" s="24" t="str">
        <f>INDEX(TblApuracao[COMPETÊNCIA],1)</f>
        <v>2026-03</v>
      </c>
      <c r="W181" s="25">
        <f>SUMPRODUCT((TblApuracao[COLABORADOR]="Emanuelly Ribeiro de Aguiar")*(TblApuracao[COMPETÊNCIA]&lt;="2025-09")*(TblApuracao[SALDO MÊS (h:mm)]&gt;0)*TblApuracao[SALDO MÊS (h:mm)])</f>
        <v>0.6875</v>
      </c>
    </row>
    <row r="182" spans="1:23" ht="15" customHeight="1" x14ac:dyDescent="0.25">
      <c r="A182" s="18">
        <f t="shared" si="2"/>
        <v>180</v>
      </c>
      <c r="B182" s="34"/>
      <c r="C182" s="19" t="str">
        <f>IFERROR(
  INDEX(TblCadastro[SETOR],
    MATCH(TblApuracao[[#This Row],[COLABORADOR]],TblCadastro[NOME COMPLETO],0)
  ),
  "Não cadastrado"
)</f>
        <v>Não cadastrado</v>
      </c>
      <c r="D182" s="34"/>
      <c r="E18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2" s="18" t="str">
        <f>IFERROR(
  INDEX(TblCadastro[JORNADA ATUAL (h/dia)],
    MATCH(TblApuracao[[#This Row],[COLABORADOR]],TblCadastro[NOME COMPLETO],0)
  ),
  ""
)</f>
        <v/>
      </c>
      <c r="G182" s="18" t="str">
        <f>IFERROR(
  INDEX(TblCadastro[TRABALHA SÁB?],
    MATCH(TblApuracao[[#This Row],[COLABORADOR]],TblCadastro[NOME COMPLETO],0)
  ),
  ""
)</f>
        <v/>
      </c>
      <c r="H18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2" s="34"/>
      <c r="J182" s="34"/>
      <c r="K182" s="34"/>
      <c r="L182" s="21">
        <f>TblApuracao[[#This Row],[HRS EXTRAS (h:mm)]]-TblApuracao[[#This Row],[FALTAS/ATRASOS (h:mm)]]+TblApuracao[[#This Row],[AJUSTE MANUAL (h:mm)]]</f>
        <v>0</v>
      </c>
      <c r="M182" s="21">
        <f>SUMPRODUCT((TblApuracao[COLABORADOR]=TblApuracao[[#This Row],[COLABORADOR]])*(TblApuracao[COMPETÊNCIA]&lt;=TblApuracao[[#This Row],[COMPETÊNCIA]])*TblApuracao[HRS EXTRAS (h:mm)])</f>
        <v>0</v>
      </c>
      <c r="N182" s="21">
        <f>SUMPRODUCT((TblApuracao[COLABORADOR]=TblApuracao[[#This Row],[COLABORADOR]])*(TblApuracao[COMPETÊNCIA]&lt;=TblApuracao[[#This Row],[COMPETÊNCIA]])*TblApuracao[FALTAS/ATRASOS (h:mm)])</f>
        <v>0</v>
      </c>
      <c r="O182" s="21">
        <f>TblApuracao[[#This Row],[SALDO ANT. (h:mm)]]+TblApuracao[[#This Row],[SALDO MÊS (h:mm)]]</f>
        <v>0</v>
      </c>
      <c r="P182" s="24"/>
      <c r="Q182" s="24"/>
      <c r="R182" s="24"/>
      <c r="S182" s="24" t="str">
        <f>TblApuracao[[#This Row],[COLABORADOR]]&amp;TblApuracao[[#This Row],[COMPETÊNCIA]]</f>
        <v/>
      </c>
      <c r="T182" s="24">
        <f>ROW(TblApuracao[[#Headers],[COMPETÊNCIA]])</f>
        <v>2</v>
      </c>
      <c r="U182" s="24" t="str">
        <f>TblApuracao[[#This Row],[COLABORADOR]]&amp;TblApuracao[[#This Row],[COMPETÊNCIA]]</f>
        <v/>
      </c>
      <c r="V182" s="24" t="str">
        <f>INDEX(TblApuracao[COMPETÊNCIA],1)</f>
        <v>2026-03</v>
      </c>
      <c r="W182" s="25">
        <f>SUMPRODUCT((TblApuracao[COLABORADOR]="Emanuelly Ribeiro de Aguiar")*(TblApuracao[COMPETÊNCIA]&lt;="2025-09")*(TblApuracao[SALDO MÊS (h:mm)]&gt;0)*TblApuracao[SALDO MÊS (h:mm)])</f>
        <v>0.6875</v>
      </c>
    </row>
    <row r="183" spans="1:23" ht="15" customHeight="1" x14ac:dyDescent="0.25">
      <c r="A183" s="18">
        <f t="shared" si="2"/>
        <v>181</v>
      </c>
      <c r="B183" s="34"/>
      <c r="C183" s="19" t="str">
        <f>IFERROR(
  INDEX(TblCadastro[SETOR],
    MATCH(TblApuracao[[#This Row],[COLABORADOR]],TblCadastro[NOME COMPLETO],0)
  ),
  "Não cadastrado"
)</f>
        <v>Não cadastrado</v>
      </c>
      <c r="D183" s="34"/>
      <c r="E18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3" s="18" t="str">
        <f>IFERROR(
  INDEX(TblCadastro[JORNADA ATUAL (h/dia)],
    MATCH(TblApuracao[[#This Row],[COLABORADOR]],TblCadastro[NOME COMPLETO],0)
  ),
  ""
)</f>
        <v/>
      </c>
      <c r="G183" s="18" t="str">
        <f>IFERROR(
  INDEX(TblCadastro[TRABALHA SÁB?],
    MATCH(TblApuracao[[#This Row],[COLABORADOR]],TblCadastro[NOME COMPLETO],0)
  ),
  ""
)</f>
        <v/>
      </c>
      <c r="H18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3" s="34"/>
      <c r="J183" s="34"/>
      <c r="K183" s="34"/>
      <c r="L183" s="21">
        <f>TblApuracao[[#This Row],[HRS EXTRAS (h:mm)]]-TblApuracao[[#This Row],[FALTAS/ATRASOS (h:mm)]]+TblApuracao[[#This Row],[AJUSTE MANUAL (h:mm)]]</f>
        <v>0</v>
      </c>
      <c r="M183" s="21">
        <f>SUMPRODUCT((TblApuracao[COLABORADOR]=TblApuracao[[#This Row],[COLABORADOR]])*(TblApuracao[COMPETÊNCIA]&lt;=TblApuracao[[#This Row],[COMPETÊNCIA]])*TblApuracao[HRS EXTRAS (h:mm)])</f>
        <v>0</v>
      </c>
      <c r="N183" s="21">
        <f>SUMPRODUCT((TblApuracao[COLABORADOR]=TblApuracao[[#This Row],[COLABORADOR]])*(TblApuracao[COMPETÊNCIA]&lt;=TblApuracao[[#This Row],[COMPETÊNCIA]])*TblApuracao[FALTAS/ATRASOS (h:mm)])</f>
        <v>0</v>
      </c>
      <c r="O183" s="21">
        <f>TblApuracao[[#This Row],[SALDO ANT. (h:mm)]]+TblApuracao[[#This Row],[SALDO MÊS (h:mm)]]</f>
        <v>0</v>
      </c>
      <c r="P183" s="24"/>
      <c r="Q183" s="24"/>
      <c r="R183" s="24"/>
      <c r="S183" s="24" t="str">
        <f>TblApuracao[[#This Row],[COLABORADOR]]&amp;TblApuracao[[#This Row],[COMPETÊNCIA]]</f>
        <v/>
      </c>
      <c r="T183" s="24">
        <f>ROW(TblApuracao[[#Headers],[COMPETÊNCIA]])</f>
        <v>2</v>
      </c>
      <c r="U183" s="24" t="str">
        <f>TblApuracao[[#This Row],[COLABORADOR]]&amp;TblApuracao[[#This Row],[COMPETÊNCIA]]</f>
        <v/>
      </c>
      <c r="V183" s="24" t="str">
        <f>INDEX(TblApuracao[COMPETÊNCIA],1)</f>
        <v>2026-03</v>
      </c>
      <c r="W183" s="25">
        <f>SUMPRODUCT((TblApuracao[COLABORADOR]="Emanuelly Ribeiro de Aguiar")*(TblApuracao[COMPETÊNCIA]&lt;="2025-09")*(TblApuracao[SALDO MÊS (h:mm)]&gt;0)*TblApuracao[SALDO MÊS (h:mm)])</f>
        <v>0.6875</v>
      </c>
    </row>
    <row r="184" spans="1:23" ht="15" customHeight="1" x14ac:dyDescent="0.25">
      <c r="A184" s="18">
        <f t="shared" si="2"/>
        <v>182</v>
      </c>
      <c r="B184" s="34"/>
      <c r="C184" s="19" t="str">
        <f>IFERROR(
  INDEX(TblCadastro[SETOR],
    MATCH(TblApuracao[[#This Row],[COLABORADOR]],TblCadastro[NOME COMPLETO],0)
  ),
  "Não cadastrado"
)</f>
        <v>Não cadastrado</v>
      </c>
      <c r="D184" s="34"/>
      <c r="E18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4" s="18" t="str">
        <f>IFERROR(
  INDEX(TblCadastro[JORNADA ATUAL (h/dia)],
    MATCH(TblApuracao[[#This Row],[COLABORADOR]],TblCadastro[NOME COMPLETO],0)
  ),
  ""
)</f>
        <v/>
      </c>
      <c r="G184" s="18" t="str">
        <f>IFERROR(
  INDEX(TblCadastro[TRABALHA SÁB?],
    MATCH(TblApuracao[[#This Row],[COLABORADOR]],TblCadastro[NOME COMPLETO],0)
  ),
  ""
)</f>
        <v/>
      </c>
      <c r="H18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4" s="34"/>
      <c r="J184" s="34"/>
      <c r="K184" s="34"/>
      <c r="L184" s="21">
        <f>TblApuracao[[#This Row],[HRS EXTRAS (h:mm)]]-TblApuracao[[#This Row],[FALTAS/ATRASOS (h:mm)]]+TblApuracao[[#This Row],[AJUSTE MANUAL (h:mm)]]</f>
        <v>0</v>
      </c>
      <c r="M184" s="21">
        <f>SUMPRODUCT((TblApuracao[COLABORADOR]=TblApuracao[[#This Row],[COLABORADOR]])*(TblApuracao[COMPETÊNCIA]&lt;=TblApuracao[[#This Row],[COMPETÊNCIA]])*TblApuracao[HRS EXTRAS (h:mm)])</f>
        <v>0</v>
      </c>
      <c r="N184" s="21">
        <f>SUMPRODUCT((TblApuracao[COLABORADOR]=TblApuracao[[#This Row],[COLABORADOR]])*(TblApuracao[COMPETÊNCIA]&lt;=TblApuracao[[#This Row],[COMPETÊNCIA]])*TblApuracao[FALTAS/ATRASOS (h:mm)])</f>
        <v>0</v>
      </c>
      <c r="O184" s="21">
        <f>TblApuracao[[#This Row],[SALDO ANT. (h:mm)]]+TblApuracao[[#This Row],[SALDO MÊS (h:mm)]]</f>
        <v>0</v>
      </c>
      <c r="P184" s="24"/>
      <c r="Q184" s="24"/>
      <c r="R184" s="24"/>
      <c r="S184" s="24" t="str">
        <f>TblApuracao[[#This Row],[COLABORADOR]]&amp;TblApuracao[[#This Row],[COMPETÊNCIA]]</f>
        <v/>
      </c>
      <c r="T184" s="24">
        <f>ROW(TblApuracao[[#Headers],[COMPETÊNCIA]])</f>
        <v>2</v>
      </c>
      <c r="U184" s="24" t="str">
        <f>TblApuracao[[#This Row],[COLABORADOR]]&amp;TblApuracao[[#This Row],[COMPETÊNCIA]]</f>
        <v/>
      </c>
      <c r="V184" s="24" t="str">
        <f>INDEX(TblApuracao[COMPETÊNCIA],1)</f>
        <v>2026-03</v>
      </c>
      <c r="W184" s="25">
        <f>SUMPRODUCT((TblApuracao[COLABORADOR]="Emanuelly Ribeiro de Aguiar")*(TblApuracao[COMPETÊNCIA]&lt;="2025-09")*(TblApuracao[SALDO MÊS (h:mm)]&gt;0)*TblApuracao[SALDO MÊS (h:mm)])</f>
        <v>0.6875</v>
      </c>
    </row>
    <row r="185" spans="1:23" ht="15" customHeight="1" x14ac:dyDescent="0.25">
      <c r="A185" s="18">
        <f t="shared" si="2"/>
        <v>183</v>
      </c>
      <c r="B185" s="34"/>
      <c r="C185" s="19" t="str">
        <f>IFERROR(
  INDEX(TblCadastro[SETOR],
    MATCH(TblApuracao[[#This Row],[COLABORADOR]],TblCadastro[NOME COMPLETO],0)
  ),
  "Não cadastrado"
)</f>
        <v>Não cadastrado</v>
      </c>
      <c r="D185" s="34"/>
      <c r="E18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5" s="18" t="str">
        <f>IFERROR(
  INDEX(TblCadastro[JORNADA ATUAL (h/dia)],
    MATCH(TblApuracao[[#This Row],[COLABORADOR]],TblCadastro[NOME COMPLETO],0)
  ),
  ""
)</f>
        <v/>
      </c>
      <c r="G185" s="18" t="str">
        <f>IFERROR(
  INDEX(TblCadastro[TRABALHA SÁB?],
    MATCH(TblApuracao[[#This Row],[COLABORADOR]],TblCadastro[NOME COMPLETO],0)
  ),
  ""
)</f>
        <v/>
      </c>
      <c r="H18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5" s="34"/>
      <c r="J185" s="34"/>
      <c r="K185" s="34"/>
      <c r="L185" s="21">
        <f>TblApuracao[[#This Row],[HRS EXTRAS (h:mm)]]-TblApuracao[[#This Row],[FALTAS/ATRASOS (h:mm)]]+TblApuracao[[#This Row],[AJUSTE MANUAL (h:mm)]]</f>
        <v>0</v>
      </c>
      <c r="M185" s="21">
        <f>SUMPRODUCT((TblApuracao[COLABORADOR]=TblApuracao[[#This Row],[COLABORADOR]])*(TblApuracao[COMPETÊNCIA]&lt;=TblApuracao[[#This Row],[COMPETÊNCIA]])*TblApuracao[HRS EXTRAS (h:mm)])</f>
        <v>0</v>
      </c>
      <c r="N185" s="21">
        <f>SUMPRODUCT((TblApuracao[COLABORADOR]=TblApuracao[[#This Row],[COLABORADOR]])*(TblApuracao[COMPETÊNCIA]&lt;=TblApuracao[[#This Row],[COMPETÊNCIA]])*TblApuracao[FALTAS/ATRASOS (h:mm)])</f>
        <v>0</v>
      </c>
      <c r="O185" s="21">
        <f>TblApuracao[[#This Row],[SALDO ANT. (h:mm)]]+TblApuracao[[#This Row],[SALDO MÊS (h:mm)]]</f>
        <v>0</v>
      </c>
      <c r="P185" s="24"/>
      <c r="Q185" s="24"/>
      <c r="R185" s="24"/>
      <c r="S185" s="24" t="str">
        <f>TblApuracao[[#This Row],[COLABORADOR]]&amp;TblApuracao[[#This Row],[COMPETÊNCIA]]</f>
        <v/>
      </c>
      <c r="T185" s="24">
        <f>ROW(TblApuracao[[#Headers],[COMPETÊNCIA]])</f>
        <v>2</v>
      </c>
      <c r="U185" s="24" t="str">
        <f>TblApuracao[[#This Row],[COLABORADOR]]&amp;TblApuracao[[#This Row],[COMPETÊNCIA]]</f>
        <v/>
      </c>
      <c r="V185" s="24" t="str">
        <f>INDEX(TblApuracao[COMPETÊNCIA],1)</f>
        <v>2026-03</v>
      </c>
      <c r="W185" s="25">
        <f>SUMPRODUCT((TblApuracao[COLABORADOR]="Emanuelly Ribeiro de Aguiar")*(TblApuracao[COMPETÊNCIA]&lt;="2025-09")*(TblApuracao[SALDO MÊS (h:mm)]&gt;0)*TblApuracao[SALDO MÊS (h:mm)])</f>
        <v>0.6875</v>
      </c>
    </row>
    <row r="186" spans="1:23" ht="15" customHeight="1" x14ac:dyDescent="0.25">
      <c r="A186" s="18">
        <f t="shared" si="2"/>
        <v>184</v>
      </c>
      <c r="B186" s="34"/>
      <c r="C186" s="19" t="str">
        <f>IFERROR(
  INDEX(TblCadastro[SETOR],
    MATCH(TblApuracao[[#This Row],[COLABORADOR]],TblCadastro[NOME COMPLETO],0)
  ),
  "Não cadastrado"
)</f>
        <v>Não cadastrado</v>
      </c>
      <c r="D186" s="34"/>
      <c r="E18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6" s="18" t="str">
        <f>IFERROR(
  INDEX(TblCadastro[JORNADA ATUAL (h/dia)],
    MATCH(TblApuracao[[#This Row],[COLABORADOR]],TblCadastro[NOME COMPLETO],0)
  ),
  ""
)</f>
        <v/>
      </c>
      <c r="G186" s="18" t="str">
        <f>IFERROR(
  INDEX(TblCadastro[TRABALHA SÁB?],
    MATCH(TblApuracao[[#This Row],[COLABORADOR]],TblCadastro[NOME COMPLETO],0)
  ),
  ""
)</f>
        <v/>
      </c>
      <c r="H18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6" s="34"/>
      <c r="J186" s="34"/>
      <c r="K186" s="34"/>
      <c r="L186" s="21">
        <f>TblApuracao[[#This Row],[HRS EXTRAS (h:mm)]]-TblApuracao[[#This Row],[FALTAS/ATRASOS (h:mm)]]+TblApuracao[[#This Row],[AJUSTE MANUAL (h:mm)]]</f>
        <v>0</v>
      </c>
      <c r="M186" s="21">
        <f>SUMPRODUCT((TblApuracao[COLABORADOR]=TblApuracao[[#This Row],[COLABORADOR]])*(TblApuracao[COMPETÊNCIA]&lt;=TblApuracao[[#This Row],[COMPETÊNCIA]])*TblApuracao[HRS EXTRAS (h:mm)])</f>
        <v>0</v>
      </c>
      <c r="N186" s="21">
        <f>SUMPRODUCT((TblApuracao[COLABORADOR]=TblApuracao[[#This Row],[COLABORADOR]])*(TblApuracao[COMPETÊNCIA]&lt;=TblApuracao[[#This Row],[COMPETÊNCIA]])*TblApuracao[FALTAS/ATRASOS (h:mm)])</f>
        <v>0</v>
      </c>
      <c r="O186" s="21">
        <f>TblApuracao[[#This Row],[SALDO ANT. (h:mm)]]+TblApuracao[[#This Row],[SALDO MÊS (h:mm)]]</f>
        <v>0</v>
      </c>
      <c r="P186" s="24"/>
      <c r="Q186" s="24"/>
      <c r="R186" s="24"/>
      <c r="S186" s="24" t="str">
        <f>TblApuracao[[#This Row],[COLABORADOR]]&amp;TblApuracao[[#This Row],[COMPETÊNCIA]]</f>
        <v/>
      </c>
      <c r="T186" s="24">
        <f>ROW(TblApuracao[[#Headers],[COMPETÊNCIA]])</f>
        <v>2</v>
      </c>
      <c r="U186" s="24" t="str">
        <f>TblApuracao[[#This Row],[COLABORADOR]]&amp;TblApuracao[[#This Row],[COMPETÊNCIA]]</f>
        <v/>
      </c>
      <c r="V186" s="24" t="str">
        <f>INDEX(TblApuracao[COMPETÊNCIA],1)</f>
        <v>2026-03</v>
      </c>
      <c r="W186" s="25">
        <f>SUMPRODUCT((TblApuracao[COLABORADOR]="Emanuelly Ribeiro de Aguiar")*(TblApuracao[COMPETÊNCIA]&lt;="2025-09")*(TblApuracao[SALDO MÊS (h:mm)]&gt;0)*TblApuracao[SALDO MÊS (h:mm)])</f>
        <v>0.6875</v>
      </c>
    </row>
    <row r="187" spans="1:23" ht="15" customHeight="1" x14ac:dyDescent="0.25">
      <c r="A187" s="18">
        <f t="shared" si="2"/>
        <v>185</v>
      </c>
      <c r="B187" s="34"/>
      <c r="C187" s="19" t="str">
        <f>IFERROR(
  INDEX(TblCadastro[SETOR],
    MATCH(TblApuracao[[#This Row],[COLABORADOR]],TblCadastro[NOME COMPLETO],0)
  ),
  "Não cadastrado"
)</f>
        <v>Não cadastrado</v>
      </c>
      <c r="D187" s="34"/>
      <c r="E18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7" s="18" t="str">
        <f>IFERROR(
  INDEX(TblCadastro[JORNADA ATUAL (h/dia)],
    MATCH(TblApuracao[[#This Row],[COLABORADOR]],TblCadastro[NOME COMPLETO],0)
  ),
  ""
)</f>
        <v/>
      </c>
      <c r="G187" s="18" t="str">
        <f>IFERROR(
  INDEX(TblCadastro[TRABALHA SÁB?],
    MATCH(TblApuracao[[#This Row],[COLABORADOR]],TblCadastro[NOME COMPLETO],0)
  ),
  ""
)</f>
        <v/>
      </c>
      <c r="H18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7" s="34"/>
      <c r="J187" s="34"/>
      <c r="K187" s="34"/>
      <c r="L187" s="21">
        <f>TblApuracao[[#This Row],[HRS EXTRAS (h:mm)]]-TblApuracao[[#This Row],[FALTAS/ATRASOS (h:mm)]]+TblApuracao[[#This Row],[AJUSTE MANUAL (h:mm)]]</f>
        <v>0</v>
      </c>
      <c r="M187" s="21">
        <f>SUMPRODUCT((TblApuracao[COLABORADOR]=TblApuracao[[#This Row],[COLABORADOR]])*(TblApuracao[COMPETÊNCIA]&lt;=TblApuracao[[#This Row],[COMPETÊNCIA]])*TblApuracao[HRS EXTRAS (h:mm)])</f>
        <v>0</v>
      </c>
      <c r="N187" s="21">
        <f>SUMPRODUCT((TblApuracao[COLABORADOR]=TblApuracao[[#This Row],[COLABORADOR]])*(TblApuracao[COMPETÊNCIA]&lt;=TblApuracao[[#This Row],[COMPETÊNCIA]])*TblApuracao[FALTAS/ATRASOS (h:mm)])</f>
        <v>0</v>
      </c>
      <c r="O187" s="21">
        <f>TblApuracao[[#This Row],[SALDO ANT. (h:mm)]]+TblApuracao[[#This Row],[SALDO MÊS (h:mm)]]</f>
        <v>0</v>
      </c>
      <c r="P187" s="24"/>
      <c r="Q187" s="24"/>
      <c r="R187" s="24"/>
      <c r="S187" s="24" t="str">
        <f>TblApuracao[[#This Row],[COLABORADOR]]&amp;TblApuracao[[#This Row],[COMPETÊNCIA]]</f>
        <v/>
      </c>
      <c r="T187" s="24">
        <f>ROW(TblApuracao[[#Headers],[COMPETÊNCIA]])</f>
        <v>2</v>
      </c>
      <c r="U187" s="24" t="str">
        <f>TblApuracao[[#This Row],[COLABORADOR]]&amp;TblApuracao[[#This Row],[COMPETÊNCIA]]</f>
        <v/>
      </c>
      <c r="V187" s="24" t="str">
        <f>INDEX(TblApuracao[COMPETÊNCIA],1)</f>
        <v>2026-03</v>
      </c>
      <c r="W187" s="25">
        <f>SUMPRODUCT((TblApuracao[COLABORADOR]="Emanuelly Ribeiro de Aguiar")*(TblApuracao[COMPETÊNCIA]&lt;="2025-09")*(TblApuracao[SALDO MÊS (h:mm)]&gt;0)*TblApuracao[SALDO MÊS (h:mm)])</f>
        <v>0.6875</v>
      </c>
    </row>
    <row r="188" spans="1:23" ht="15" customHeight="1" x14ac:dyDescent="0.25">
      <c r="A188" s="18">
        <f t="shared" si="2"/>
        <v>186</v>
      </c>
      <c r="B188" s="34"/>
      <c r="C188" s="19" t="str">
        <f>IFERROR(
  INDEX(TblCadastro[SETOR],
    MATCH(TblApuracao[[#This Row],[COLABORADOR]],TblCadastro[NOME COMPLETO],0)
  ),
  "Não cadastrado"
)</f>
        <v>Não cadastrado</v>
      </c>
      <c r="D188" s="34"/>
      <c r="E18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8" s="18" t="str">
        <f>IFERROR(
  INDEX(TblCadastro[JORNADA ATUAL (h/dia)],
    MATCH(TblApuracao[[#This Row],[COLABORADOR]],TblCadastro[NOME COMPLETO],0)
  ),
  ""
)</f>
        <v/>
      </c>
      <c r="G188" s="18" t="str">
        <f>IFERROR(
  INDEX(TblCadastro[TRABALHA SÁB?],
    MATCH(TblApuracao[[#This Row],[COLABORADOR]],TblCadastro[NOME COMPLETO],0)
  ),
  ""
)</f>
        <v/>
      </c>
      <c r="H18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8" s="34"/>
      <c r="J188" s="34"/>
      <c r="K188" s="34"/>
      <c r="L188" s="21">
        <f>TblApuracao[[#This Row],[HRS EXTRAS (h:mm)]]-TblApuracao[[#This Row],[FALTAS/ATRASOS (h:mm)]]+TblApuracao[[#This Row],[AJUSTE MANUAL (h:mm)]]</f>
        <v>0</v>
      </c>
      <c r="M188" s="21">
        <f>SUMPRODUCT((TblApuracao[COLABORADOR]=TblApuracao[[#This Row],[COLABORADOR]])*(TblApuracao[COMPETÊNCIA]&lt;=TblApuracao[[#This Row],[COMPETÊNCIA]])*TblApuracao[HRS EXTRAS (h:mm)])</f>
        <v>0</v>
      </c>
      <c r="N188" s="21">
        <f>SUMPRODUCT((TblApuracao[COLABORADOR]=TblApuracao[[#This Row],[COLABORADOR]])*(TblApuracao[COMPETÊNCIA]&lt;=TblApuracao[[#This Row],[COMPETÊNCIA]])*TblApuracao[FALTAS/ATRASOS (h:mm)])</f>
        <v>0</v>
      </c>
      <c r="O188" s="21">
        <f>TblApuracao[[#This Row],[SALDO ANT. (h:mm)]]+TblApuracao[[#This Row],[SALDO MÊS (h:mm)]]</f>
        <v>0</v>
      </c>
      <c r="P188" s="24"/>
      <c r="Q188" s="24"/>
      <c r="R188" s="24"/>
      <c r="S188" s="24" t="str">
        <f>TblApuracao[[#This Row],[COLABORADOR]]&amp;TblApuracao[[#This Row],[COMPETÊNCIA]]</f>
        <v/>
      </c>
      <c r="T188" s="24">
        <f>ROW(TblApuracao[[#Headers],[COMPETÊNCIA]])</f>
        <v>2</v>
      </c>
      <c r="U188" s="24" t="str">
        <f>TblApuracao[[#This Row],[COLABORADOR]]&amp;TblApuracao[[#This Row],[COMPETÊNCIA]]</f>
        <v/>
      </c>
      <c r="V188" s="24" t="str">
        <f>INDEX(TblApuracao[COMPETÊNCIA],1)</f>
        <v>2026-03</v>
      </c>
      <c r="W188" s="25">
        <f>SUMPRODUCT((TblApuracao[COLABORADOR]="Emanuelly Ribeiro de Aguiar")*(TblApuracao[COMPETÊNCIA]&lt;="2025-09")*(TblApuracao[SALDO MÊS (h:mm)]&gt;0)*TblApuracao[SALDO MÊS (h:mm)])</f>
        <v>0.6875</v>
      </c>
    </row>
    <row r="189" spans="1:23" ht="15" customHeight="1" x14ac:dyDescent="0.25">
      <c r="A189" s="18">
        <f t="shared" si="2"/>
        <v>187</v>
      </c>
      <c r="B189" s="34"/>
      <c r="C189" s="19" t="str">
        <f>IFERROR(
  INDEX(TblCadastro[SETOR],
    MATCH(TblApuracao[[#This Row],[COLABORADOR]],TblCadastro[NOME COMPLETO],0)
  ),
  "Não cadastrado"
)</f>
        <v>Não cadastrado</v>
      </c>
      <c r="D189" s="34"/>
      <c r="E18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9" s="18" t="str">
        <f>IFERROR(
  INDEX(TblCadastro[JORNADA ATUAL (h/dia)],
    MATCH(TblApuracao[[#This Row],[COLABORADOR]],TblCadastro[NOME COMPLETO],0)
  ),
  ""
)</f>
        <v/>
      </c>
      <c r="G189" s="18" t="str">
        <f>IFERROR(
  INDEX(TblCadastro[TRABALHA SÁB?],
    MATCH(TblApuracao[[#This Row],[COLABORADOR]],TblCadastro[NOME COMPLETO],0)
  ),
  ""
)</f>
        <v/>
      </c>
      <c r="H18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9" s="34"/>
      <c r="J189" s="34"/>
      <c r="K189" s="34"/>
      <c r="L189" s="21">
        <f>TblApuracao[[#This Row],[HRS EXTRAS (h:mm)]]-TblApuracao[[#This Row],[FALTAS/ATRASOS (h:mm)]]+TblApuracao[[#This Row],[AJUSTE MANUAL (h:mm)]]</f>
        <v>0</v>
      </c>
      <c r="M189" s="21">
        <f>SUMPRODUCT((TblApuracao[COLABORADOR]=TblApuracao[[#This Row],[COLABORADOR]])*(TblApuracao[COMPETÊNCIA]&lt;=TblApuracao[[#This Row],[COMPETÊNCIA]])*TblApuracao[HRS EXTRAS (h:mm)])</f>
        <v>0</v>
      </c>
      <c r="N189" s="21">
        <f>SUMPRODUCT((TblApuracao[COLABORADOR]=TblApuracao[[#This Row],[COLABORADOR]])*(TblApuracao[COMPETÊNCIA]&lt;=TblApuracao[[#This Row],[COMPETÊNCIA]])*TblApuracao[FALTAS/ATRASOS (h:mm)])</f>
        <v>0</v>
      </c>
      <c r="O189" s="21">
        <f>TblApuracao[[#This Row],[SALDO ANT. (h:mm)]]+TblApuracao[[#This Row],[SALDO MÊS (h:mm)]]</f>
        <v>0</v>
      </c>
      <c r="P189" s="24"/>
      <c r="Q189" s="24"/>
      <c r="R189" s="24"/>
      <c r="S189" s="24" t="str">
        <f>TblApuracao[[#This Row],[COLABORADOR]]&amp;TblApuracao[[#This Row],[COMPETÊNCIA]]</f>
        <v/>
      </c>
      <c r="T189" s="24">
        <f>ROW(TblApuracao[[#Headers],[COMPETÊNCIA]])</f>
        <v>2</v>
      </c>
      <c r="U189" s="24" t="str">
        <f>TblApuracao[[#This Row],[COLABORADOR]]&amp;TblApuracao[[#This Row],[COMPETÊNCIA]]</f>
        <v/>
      </c>
      <c r="V189" s="24" t="str">
        <f>INDEX(TblApuracao[COMPETÊNCIA],1)</f>
        <v>2026-03</v>
      </c>
      <c r="W189" s="25">
        <f>SUMPRODUCT((TblApuracao[COLABORADOR]="Emanuelly Ribeiro de Aguiar")*(TblApuracao[COMPETÊNCIA]&lt;="2025-09")*(TblApuracao[SALDO MÊS (h:mm)]&gt;0)*TblApuracao[SALDO MÊS (h:mm)])</f>
        <v>0.6875</v>
      </c>
    </row>
    <row r="190" spans="1:23" ht="15" customHeight="1" x14ac:dyDescent="0.25">
      <c r="A190" s="18">
        <f t="shared" si="2"/>
        <v>188</v>
      </c>
      <c r="B190" s="34"/>
      <c r="C190" s="19" t="str">
        <f>IFERROR(
  INDEX(TblCadastro[SETOR],
    MATCH(TblApuracao[[#This Row],[COLABORADOR]],TblCadastro[NOME COMPLETO],0)
  ),
  "Não cadastrado"
)</f>
        <v>Não cadastrado</v>
      </c>
      <c r="D190" s="34"/>
      <c r="E19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0" s="18" t="str">
        <f>IFERROR(
  INDEX(TblCadastro[JORNADA ATUAL (h/dia)],
    MATCH(TblApuracao[[#This Row],[COLABORADOR]],TblCadastro[NOME COMPLETO],0)
  ),
  ""
)</f>
        <v/>
      </c>
      <c r="G190" s="18" t="str">
        <f>IFERROR(
  INDEX(TblCadastro[TRABALHA SÁB?],
    MATCH(TblApuracao[[#This Row],[COLABORADOR]],TblCadastro[NOME COMPLETO],0)
  ),
  ""
)</f>
        <v/>
      </c>
      <c r="H19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0" s="34"/>
      <c r="J190" s="34"/>
      <c r="K190" s="34"/>
      <c r="L190" s="21">
        <f>TblApuracao[[#This Row],[HRS EXTRAS (h:mm)]]-TblApuracao[[#This Row],[FALTAS/ATRASOS (h:mm)]]+TblApuracao[[#This Row],[AJUSTE MANUAL (h:mm)]]</f>
        <v>0</v>
      </c>
      <c r="M190" s="21">
        <f>SUMPRODUCT((TblApuracao[COLABORADOR]=TblApuracao[[#This Row],[COLABORADOR]])*(TblApuracao[COMPETÊNCIA]&lt;=TblApuracao[[#This Row],[COMPETÊNCIA]])*TblApuracao[HRS EXTRAS (h:mm)])</f>
        <v>0</v>
      </c>
      <c r="N190" s="21">
        <f>SUMPRODUCT((TblApuracao[COLABORADOR]=TblApuracao[[#This Row],[COLABORADOR]])*(TblApuracao[COMPETÊNCIA]&lt;=TblApuracao[[#This Row],[COMPETÊNCIA]])*TblApuracao[FALTAS/ATRASOS (h:mm)])</f>
        <v>0</v>
      </c>
      <c r="O190" s="21">
        <f>TblApuracao[[#This Row],[SALDO ANT. (h:mm)]]+TblApuracao[[#This Row],[SALDO MÊS (h:mm)]]</f>
        <v>0</v>
      </c>
      <c r="P190" s="24"/>
      <c r="Q190" s="24"/>
      <c r="R190" s="24"/>
      <c r="S190" s="24" t="str">
        <f>TblApuracao[[#This Row],[COLABORADOR]]&amp;TblApuracao[[#This Row],[COMPETÊNCIA]]</f>
        <v/>
      </c>
      <c r="T190" s="24">
        <f>ROW(TblApuracao[[#Headers],[COMPETÊNCIA]])</f>
        <v>2</v>
      </c>
      <c r="U190" s="24" t="str">
        <f>TblApuracao[[#This Row],[COLABORADOR]]&amp;TblApuracao[[#This Row],[COMPETÊNCIA]]</f>
        <v/>
      </c>
      <c r="V190" s="24" t="str">
        <f>INDEX(TblApuracao[COMPETÊNCIA],1)</f>
        <v>2026-03</v>
      </c>
      <c r="W190" s="25">
        <f>SUMPRODUCT((TblApuracao[COLABORADOR]="Emanuelly Ribeiro de Aguiar")*(TblApuracao[COMPETÊNCIA]&lt;="2025-09")*(TblApuracao[SALDO MÊS (h:mm)]&gt;0)*TblApuracao[SALDO MÊS (h:mm)])</f>
        <v>0.6875</v>
      </c>
    </row>
    <row r="191" spans="1:23" ht="15" customHeight="1" x14ac:dyDescent="0.25">
      <c r="A191" s="18">
        <f t="shared" si="2"/>
        <v>189</v>
      </c>
      <c r="B191" s="34"/>
      <c r="C191" s="19" t="str">
        <f>IFERROR(
  INDEX(TblCadastro[SETOR],
    MATCH(TblApuracao[[#This Row],[COLABORADOR]],TblCadastro[NOME COMPLETO],0)
  ),
  "Não cadastrado"
)</f>
        <v>Não cadastrado</v>
      </c>
      <c r="D191" s="34"/>
      <c r="E19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1" s="18" t="str">
        <f>IFERROR(
  INDEX(TblCadastro[JORNADA ATUAL (h/dia)],
    MATCH(TblApuracao[[#This Row],[COLABORADOR]],TblCadastro[NOME COMPLETO],0)
  ),
  ""
)</f>
        <v/>
      </c>
      <c r="G191" s="18" t="str">
        <f>IFERROR(
  INDEX(TblCadastro[TRABALHA SÁB?],
    MATCH(TblApuracao[[#This Row],[COLABORADOR]],TblCadastro[NOME COMPLETO],0)
  ),
  ""
)</f>
        <v/>
      </c>
      <c r="H19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1" s="34"/>
      <c r="J191" s="34"/>
      <c r="K191" s="34"/>
      <c r="L191" s="21">
        <f>TblApuracao[[#This Row],[HRS EXTRAS (h:mm)]]-TblApuracao[[#This Row],[FALTAS/ATRASOS (h:mm)]]+TblApuracao[[#This Row],[AJUSTE MANUAL (h:mm)]]</f>
        <v>0</v>
      </c>
      <c r="M191" s="21">
        <f>SUMPRODUCT((TblApuracao[COLABORADOR]=TblApuracao[[#This Row],[COLABORADOR]])*(TblApuracao[COMPETÊNCIA]&lt;=TblApuracao[[#This Row],[COMPETÊNCIA]])*TblApuracao[HRS EXTRAS (h:mm)])</f>
        <v>0</v>
      </c>
      <c r="N191" s="21">
        <f>SUMPRODUCT((TblApuracao[COLABORADOR]=TblApuracao[[#This Row],[COLABORADOR]])*(TblApuracao[COMPETÊNCIA]&lt;=TblApuracao[[#This Row],[COMPETÊNCIA]])*TblApuracao[FALTAS/ATRASOS (h:mm)])</f>
        <v>0</v>
      </c>
      <c r="O191" s="21">
        <f>TblApuracao[[#This Row],[SALDO ANT. (h:mm)]]+TblApuracao[[#This Row],[SALDO MÊS (h:mm)]]</f>
        <v>0</v>
      </c>
      <c r="P191" s="24"/>
      <c r="Q191" s="24"/>
      <c r="R191" s="24"/>
      <c r="S191" s="24" t="str">
        <f>TblApuracao[[#This Row],[COLABORADOR]]&amp;TblApuracao[[#This Row],[COMPETÊNCIA]]</f>
        <v/>
      </c>
      <c r="T191" s="24">
        <f>ROW(TblApuracao[[#Headers],[COMPETÊNCIA]])</f>
        <v>2</v>
      </c>
      <c r="U191" s="24" t="str">
        <f>TblApuracao[[#This Row],[COLABORADOR]]&amp;TblApuracao[[#This Row],[COMPETÊNCIA]]</f>
        <v/>
      </c>
      <c r="V191" s="24" t="str">
        <f>INDEX(TblApuracao[COMPETÊNCIA],1)</f>
        <v>2026-03</v>
      </c>
      <c r="W191" s="25">
        <f>SUMPRODUCT((TblApuracao[COLABORADOR]="Emanuelly Ribeiro de Aguiar")*(TblApuracao[COMPETÊNCIA]&lt;="2025-09")*(TblApuracao[SALDO MÊS (h:mm)]&gt;0)*TblApuracao[SALDO MÊS (h:mm)])</f>
        <v>0.6875</v>
      </c>
    </row>
    <row r="192" spans="1:23" ht="15" customHeight="1" x14ac:dyDescent="0.25">
      <c r="A192" s="18">
        <f t="shared" si="2"/>
        <v>190</v>
      </c>
      <c r="B192" s="34"/>
      <c r="C192" s="19" t="str">
        <f>IFERROR(
  INDEX(TblCadastro[SETOR],
    MATCH(TblApuracao[[#This Row],[COLABORADOR]],TblCadastro[NOME COMPLETO],0)
  ),
  "Não cadastrado"
)</f>
        <v>Não cadastrado</v>
      </c>
      <c r="D192" s="34"/>
      <c r="E19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2" s="18" t="str">
        <f>IFERROR(
  INDEX(TblCadastro[JORNADA ATUAL (h/dia)],
    MATCH(TblApuracao[[#This Row],[COLABORADOR]],TblCadastro[NOME COMPLETO],0)
  ),
  ""
)</f>
        <v/>
      </c>
      <c r="G192" s="18" t="str">
        <f>IFERROR(
  INDEX(TblCadastro[TRABALHA SÁB?],
    MATCH(TblApuracao[[#This Row],[COLABORADOR]],TblCadastro[NOME COMPLETO],0)
  ),
  ""
)</f>
        <v/>
      </c>
      <c r="H19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2" s="34"/>
      <c r="J192" s="34"/>
      <c r="K192" s="34"/>
      <c r="L192" s="21">
        <f>TblApuracao[[#This Row],[HRS EXTRAS (h:mm)]]-TblApuracao[[#This Row],[FALTAS/ATRASOS (h:mm)]]+TblApuracao[[#This Row],[AJUSTE MANUAL (h:mm)]]</f>
        <v>0</v>
      </c>
      <c r="M192" s="21">
        <f>SUMPRODUCT((TblApuracao[COLABORADOR]=TblApuracao[[#This Row],[COLABORADOR]])*(TblApuracao[COMPETÊNCIA]&lt;=TblApuracao[[#This Row],[COMPETÊNCIA]])*TblApuracao[HRS EXTRAS (h:mm)])</f>
        <v>0</v>
      </c>
      <c r="N192" s="21">
        <f>SUMPRODUCT((TblApuracao[COLABORADOR]=TblApuracao[[#This Row],[COLABORADOR]])*(TblApuracao[COMPETÊNCIA]&lt;=TblApuracao[[#This Row],[COMPETÊNCIA]])*TblApuracao[FALTAS/ATRASOS (h:mm)])</f>
        <v>0</v>
      </c>
      <c r="O192" s="21">
        <f>TblApuracao[[#This Row],[SALDO ANT. (h:mm)]]+TblApuracao[[#This Row],[SALDO MÊS (h:mm)]]</f>
        <v>0</v>
      </c>
      <c r="P192" s="24"/>
      <c r="Q192" s="24"/>
      <c r="R192" s="24"/>
      <c r="S192" s="24" t="str">
        <f>TblApuracao[[#This Row],[COLABORADOR]]&amp;TblApuracao[[#This Row],[COMPETÊNCIA]]</f>
        <v/>
      </c>
      <c r="T192" s="24">
        <f>ROW(TblApuracao[[#Headers],[COMPETÊNCIA]])</f>
        <v>2</v>
      </c>
      <c r="U192" s="24" t="str">
        <f>TblApuracao[[#This Row],[COLABORADOR]]&amp;TblApuracao[[#This Row],[COMPETÊNCIA]]</f>
        <v/>
      </c>
      <c r="V192" s="24" t="str">
        <f>INDEX(TblApuracao[COMPETÊNCIA],1)</f>
        <v>2026-03</v>
      </c>
      <c r="W192" s="25">
        <f>SUMPRODUCT((TblApuracao[COLABORADOR]="Emanuelly Ribeiro de Aguiar")*(TblApuracao[COMPETÊNCIA]&lt;="2025-09")*(TblApuracao[SALDO MÊS (h:mm)]&gt;0)*TblApuracao[SALDO MÊS (h:mm)])</f>
        <v>0.6875</v>
      </c>
    </row>
    <row r="193" spans="1:23" ht="15" customHeight="1" x14ac:dyDescent="0.25">
      <c r="A193" s="18">
        <f t="shared" si="2"/>
        <v>191</v>
      </c>
      <c r="B193" s="34"/>
      <c r="C193" s="19" t="str">
        <f>IFERROR(
  INDEX(TblCadastro[SETOR],
    MATCH(TblApuracao[[#This Row],[COLABORADOR]],TblCadastro[NOME COMPLETO],0)
  ),
  "Não cadastrado"
)</f>
        <v>Não cadastrado</v>
      </c>
      <c r="D193" s="34"/>
      <c r="E19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3" s="18" t="str">
        <f>IFERROR(
  INDEX(TblCadastro[JORNADA ATUAL (h/dia)],
    MATCH(TblApuracao[[#This Row],[COLABORADOR]],TblCadastro[NOME COMPLETO],0)
  ),
  ""
)</f>
        <v/>
      </c>
      <c r="G193" s="18" t="str">
        <f>IFERROR(
  INDEX(TblCadastro[TRABALHA SÁB?],
    MATCH(TblApuracao[[#This Row],[COLABORADOR]],TblCadastro[NOME COMPLETO],0)
  ),
  ""
)</f>
        <v/>
      </c>
      <c r="H19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3" s="34"/>
      <c r="J193" s="34"/>
      <c r="K193" s="34"/>
      <c r="L193" s="21">
        <f>TblApuracao[[#This Row],[HRS EXTRAS (h:mm)]]-TblApuracao[[#This Row],[FALTAS/ATRASOS (h:mm)]]+TblApuracao[[#This Row],[AJUSTE MANUAL (h:mm)]]</f>
        <v>0</v>
      </c>
      <c r="M193" s="21">
        <f>SUMPRODUCT((TblApuracao[COLABORADOR]=TblApuracao[[#This Row],[COLABORADOR]])*(TblApuracao[COMPETÊNCIA]&lt;=TblApuracao[[#This Row],[COMPETÊNCIA]])*TblApuracao[HRS EXTRAS (h:mm)])</f>
        <v>0</v>
      </c>
      <c r="N193" s="21">
        <f>SUMPRODUCT((TblApuracao[COLABORADOR]=TblApuracao[[#This Row],[COLABORADOR]])*(TblApuracao[COMPETÊNCIA]&lt;=TblApuracao[[#This Row],[COMPETÊNCIA]])*TblApuracao[FALTAS/ATRASOS (h:mm)])</f>
        <v>0</v>
      </c>
      <c r="O193" s="21">
        <f>TblApuracao[[#This Row],[SALDO ANT. (h:mm)]]+TblApuracao[[#This Row],[SALDO MÊS (h:mm)]]</f>
        <v>0</v>
      </c>
      <c r="P193" s="24"/>
      <c r="Q193" s="24"/>
      <c r="R193" s="24"/>
      <c r="S193" s="24" t="str">
        <f>TblApuracao[[#This Row],[COLABORADOR]]&amp;TblApuracao[[#This Row],[COMPETÊNCIA]]</f>
        <v/>
      </c>
      <c r="T193" s="24">
        <f>ROW(TblApuracao[[#Headers],[COMPETÊNCIA]])</f>
        <v>2</v>
      </c>
      <c r="U193" s="24" t="str">
        <f>TblApuracao[[#This Row],[COLABORADOR]]&amp;TblApuracao[[#This Row],[COMPETÊNCIA]]</f>
        <v/>
      </c>
      <c r="V193" s="24" t="str">
        <f>INDEX(TblApuracao[COMPETÊNCIA],1)</f>
        <v>2026-03</v>
      </c>
      <c r="W193" s="25">
        <f>SUMPRODUCT((TblApuracao[COLABORADOR]="Emanuelly Ribeiro de Aguiar")*(TblApuracao[COMPETÊNCIA]&lt;="2025-09")*(TblApuracao[SALDO MÊS (h:mm)]&gt;0)*TblApuracao[SALDO MÊS (h:mm)])</f>
        <v>0.6875</v>
      </c>
    </row>
    <row r="194" spans="1:23" ht="15" customHeight="1" x14ac:dyDescent="0.25">
      <c r="A194" s="18">
        <f t="shared" si="2"/>
        <v>192</v>
      </c>
      <c r="B194" s="34"/>
      <c r="C194" s="19" t="str">
        <f>IFERROR(
  INDEX(TblCadastro[SETOR],
    MATCH(TblApuracao[[#This Row],[COLABORADOR]],TblCadastro[NOME COMPLETO],0)
  ),
  "Não cadastrado"
)</f>
        <v>Não cadastrado</v>
      </c>
      <c r="D194" s="34"/>
      <c r="E19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4" s="18" t="str">
        <f>IFERROR(
  INDEX(TblCadastro[JORNADA ATUAL (h/dia)],
    MATCH(TblApuracao[[#This Row],[COLABORADOR]],TblCadastro[NOME COMPLETO],0)
  ),
  ""
)</f>
        <v/>
      </c>
      <c r="G194" s="18" t="str">
        <f>IFERROR(
  INDEX(TblCadastro[TRABALHA SÁB?],
    MATCH(TblApuracao[[#This Row],[COLABORADOR]],TblCadastro[NOME COMPLETO],0)
  ),
  ""
)</f>
        <v/>
      </c>
      <c r="H19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4" s="34"/>
      <c r="J194" s="34"/>
      <c r="K194" s="34"/>
      <c r="L194" s="21">
        <f>TblApuracao[[#This Row],[HRS EXTRAS (h:mm)]]-TblApuracao[[#This Row],[FALTAS/ATRASOS (h:mm)]]+TblApuracao[[#This Row],[AJUSTE MANUAL (h:mm)]]</f>
        <v>0</v>
      </c>
      <c r="M194" s="21">
        <f>SUMPRODUCT((TblApuracao[COLABORADOR]=TblApuracao[[#This Row],[COLABORADOR]])*(TblApuracao[COMPETÊNCIA]&lt;=TblApuracao[[#This Row],[COMPETÊNCIA]])*TblApuracao[HRS EXTRAS (h:mm)])</f>
        <v>0</v>
      </c>
      <c r="N194" s="21">
        <f>SUMPRODUCT((TblApuracao[COLABORADOR]=TblApuracao[[#This Row],[COLABORADOR]])*(TblApuracao[COMPETÊNCIA]&lt;=TblApuracao[[#This Row],[COMPETÊNCIA]])*TblApuracao[FALTAS/ATRASOS (h:mm)])</f>
        <v>0</v>
      </c>
      <c r="O194" s="21">
        <f>TblApuracao[[#This Row],[SALDO ANT. (h:mm)]]+TblApuracao[[#This Row],[SALDO MÊS (h:mm)]]</f>
        <v>0</v>
      </c>
      <c r="P194" s="24"/>
      <c r="Q194" s="24"/>
      <c r="R194" s="24"/>
      <c r="S194" s="24" t="str">
        <f>TblApuracao[[#This Row],[COLABORADOR]]&amp;TblApuracao[[#This Row],[COMPETÊNCIA]]</f>
        <v/>
      </c>
      <c r="T194" s="24">
        <f>ROW(TblApuracao[[#Headers],[COMPETÊNCIA]])</f>
        <v>2</v>
      </c>
      <c r="U194" s="24" t="str">
        <f>TblApuracao[[#This Row],[COLABORADOR]]&amp;TblApuracao[[#This Row],[COMPETÊNCIA]]</f>
        <v/>
      </c>
      <c r="V194" s="24" t="str">
        <f>INDEX(TblApuracao[COMPETÊNCIA],1)</f>
        <v>2026-03</v>
      </c>
      <c r="W194" s="25">
        <f>SUMPRODUCT((TblApuracao[COLABORADOR]="Emanuelly Ribeiro de Aguiar")*(TblApuracao[COMPETÊNCIA]&lt;="2025-09")*(TblApuracao[SALDO MÊS (h:mm)]&gt;0)*TblApuracao[SALDO MÊS (h:mm)])</f>
        <v>0.6875</v>
      </c>
    </row>
    <row r="195" spans="1:23" ht="15" customHeight="1" x14ac:dyDescent="0.25">
      <c r="A195" s="18">
        <f t="shared" ref="A195:A257" si="3">ROW()-2</f>
        <v>193</v>
      </c>
      <c r="B195" s="34"/>
      <c r="C195" s="19" t="str">
        <f>IFERROR(
  INDEX(TblCadastro[SETOR],
    MATCH(TblApuracao[[#This Row],[COLABORADOR]],TblCadastro[NOME COMPLETO],0)
  ),
  "Não cadastrado"
)</f>
        <v>Não cadastrado</v>
      </c>
      <c r="D195" s="34"/>
      <c r="E19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5" s="18" t="str">
        <f>IFERROR(
  INDEX(TblCadastro[JORNADA ATUAL (h/dia)],
    MATCH(TblApuracao[[#This Row],[COLABORADOR]],TblCadastro[NOME COMPLETO],0)
  ),
  ""
)</f>
        <v/>
      </c>
      <c r="G195" s="18" t="str">
        <f>IFERROR(
  INDEX(TblCadastro[TRABALHA SÁB?],
    MATCH(TblApuracao[[#This Row],[COLABORADOR]],TblCadastro[NOME COMPLETO],0)
  ),
  ""
)</f>
        <v/>
      </c>
      <c r="H19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5" s="34"/>
      <c r="J195" s="34"/>
      <c r="K195" s="34"/>
      <c r="L195" s="21">
        <f>TblApuracao[[#This Row],[HRS EXTRAS (h:mm)]]-TblApuracao[[#This Row],[FALTAS/ATRASOS (h:mm)]]+TblApuracao[[#This Row],[AJUSTE MANUAL (h:mm)]]</f>
        <v>0</v>
      </c>
      <c r="M195" s="21">
        <f>SUMPRODUCT((TblApuracao[COLABORADOR]=TblApuracao[[#This Row],[COLABORADOR]])*(TblApuracao[COMPETÊNCIA]&lt;=TblApuracao[[#This Row],[COMPETÊNCIA]])*TblApuracao[HRS EXTRAS (h:mm)])</f>
        <v>0</v>
      </c>
      <c r="N195" s="21">
        <f>SUMPRODUCT((TblApuracao[COLABORADOR]=TblApuracao[[#This Row],[COLABORADOR]])*(TblApuracao[COMPETÊNCIA]&lt;=TblApuracao[[#This Row],[COMPETÊNCIA]])*TblApuracao[FALTAS/ATRASOS (h:mm)])</f>
        <v>0</v>
      </c>
      <c r="O195" s="21">
        <f>TblApuracao[[#This Row],[SALDO ANT. (h:mm)]]+TblApuracao[[#This Row],[SALDO MÊS (h:mm)]]</f>
        <v>0</v>
      </c>
      <c r="P195" s="24"/>
      <c r="Q195" s="24"/>
      <c r="R195" s="24"/>
      <c r="S195" s="24" t="str">
        <f>TblApuracao[[#This Row],[COLABORADOR]]&amp;TblApuracao[[#This Row],[COMPETÊNCIA]]</f>
        <v/>
      </c>
      <c r="T195" s="24">
        <f>ROW(TblApuracao[[#Headers],[COMPETÊNCIA]])</f>
        <v>2</v>
      </c>
      <c r="U195" s="24" t="str">
        <f>TblApuracao[[#This Row],[COLABORADOR]]&amp;TblApuracao[[#This Row],[COMPETÊNCIA]]</f>
        <v/>
      </c>
      <c r="V195" s="24" t="str">
        <f>INDEX(TblApuracao[COMPETÊNCIA],1)</f>
        <v>2026-03</v>
      </c>
      <c r="W195" s="25">
        <f>SUMPRODUCT((TblApuracao[COLABORADOR]="Emanuelly Ribeiro de Aguiar")*(TblApuracao[COMPETÊNCIA]&lt;="2025-09")*(TblApuracao[SALDO MÊS (h:mm)]&gt;0)*TblApuracao[SALDO MÊS (h:mm)])</f>
        <v>0.6875</v>
      </c>
    </row>
    <row r="196" spans="1:23" ht="15" customHeight="1" x14ac:dyDescent="0.25">
      <c r="A196" s="18">
        <f t="shared" si="3"/>
        <v>194</v>
      </c>
      <c r="B196" s="34"/>
      <c r="C196" s="19" t="str">
        <f>IFERROR(
  INDEX(TblCadastro[SETOR],
    MATCH(TblApuracao[[#This Row],[COLABORADOR]],TblCadastro[NOME COMPLETO],0)
  ),
  "Não cadastrado"
)</f>
        <v>Não cadastrado</v>
      </c>
      <c r="D196" s="34"/>
      <c r="E19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6" s="18" t="str">
        <f>IFERROR(
  INDEX(TblCadastro[JORNADA ATUAL (h/dia)],
    MATCH(TblApuracao[[#This Row],[COLABORADOR]],TblCadastro[NOME COMPLETO],0)
  ),
  ""
)</f>
        <v/>
      </c>
      <c r="G196" s="18" t="str">
        <f>IFERROR(
  INDEX(TblCadastro[TRABALHA SÁB?],
    MATCH(TblApuracao[[#This Row],[COLABORADOR]],TblCadastro[NOME COMPLETO],0)
  ),
  ""
)</f>
        <v/>
      </c>
      <c r="H19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6" s="34"/>
      <c r="J196" s="34"/>
      <c r="K196" s="34"/>
      <c r="L196" s="21">
        <f>TblApuracao[[#This Row],[HRS EXTRAS (h:mm)]]-TblApuracao[[#This Row],[FALTAS/ATRASOS (h:mm)]]+TblApuracao[[#This Row],[AJUSTE MANUAL (h:mm)]]</f>
        <v>0</v>
      </c>
      <c r="M196" s="21">
        <f>SUMPRODUCT((TblApuracao[COLABORADOR]=TblApuracao[[#This Row],[COLABORADOR]])*(TblApuracao[COMPETÊNCIA]&lt;=TblApuracao[[#This Row],[COMPETÊNCIA]])*TblApuracao[HRS EXTRAS (h:mm)])</f>
        <v>0</v>
      </c>
      <c r="N196" s="21">
        <f>SUMPRODUCT((TblApuracao[COLABORADOR]=TblApuracao[[#This Row],[COLABORADOR]])*(TblApuracao[COMPETÊNCIA]&lt;=TblApuracao[[#This Row],[COMPETÊNCIA]])*TblApuracao[FALTAS/ATRASOS (h:mm)])</f>
        <v>0</v>
      </c>
      <c r="O196" s="21">
        <f>TblApuracao[[#This Row],[SALDO ANT. (h:mm)]]+TblApuracao[[#This Row],[SALDO MÊS (h:mm)]]</f>
        <v>0</v>
      </c>
      <c r="P196" s="24"/>
      <c r="Q196" s="24"/>
      <c r="R196" s="24"/>
      <c r="S196" s="24" t="str">
        <f>TblApuracao[[#This Row],[COLABORADOR]]&amp;TblApuracao[[#This Row],[COMPETÊNCIA]]</f>
        <v/>
      </c>
      <c r="T196" s="24">
        <f>ROW(TblApuracao[[#Headers],[COMPETÊNCIA]])</f>
        <v>2</v>
      </c>
      <c r="U196" s="24" t="str">
        <f>TblApuracao[[#This Row],[COLABORADOR]]&amp;TblApuracao[[#This Row],[COMPETÊNCIA]]</f>
        <v/>
      </c>
      <c r="V196" s="24" t="str">
        <f>INDEX(TblApuracao[COMPETÊNCIA],1)</f>
        <v>2026-03</v>
      </c>
      <c r="W196" s="25">
        <f>SUMPRODUCT((TblApuracao[COLABORADOR]="Emanuelly Ribeiro de Aguiar")*(TblApuracao[COMPETÊNCIA]&lt;="2025-09")*(TblApuracao[SALDO MÊS (h:mm)]&gt;0)*TblApuracao[SALDO MÊS (h:mm)])</f>
        <v>0.6875</v>
      </c>
    </row>
    <row r="197" spans="1:23" ht="15" customHeight="1" x14ac:dyDescent="0.25">
      <c r="A197" s="18">
        <f t="shared" si="3"/>
        <v>195</v>
      </c>
      <c r="B197" s="34"/>
      <c r="C197" s="19" t="str">
        <f>IFERROR(
  INDEX(TblCadastro[SETOR],
    MATCH(TblApuracao[[#This Row],[COLABORADOR]],TblCadastro[NOME COMPLETO],0)
  ),
  "Não cadastrado"
)</f>
        <v>Não cadastrado</v>
      </c>
      <c r="D197" s="34"/>
      <c r="E19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7" s="18" t="str">
        <f>IFERROR(
  INDEX(TblCadastro[JORNADA ATUAL (h/dia)],
    MATCH(TblApuracao[[#This Row],[COLABORADOR]],TblCadastro[NOME COMPLETO],0)
  ),
  ""
)</f>
        <v/>
      </c>
      <c r="G197" s="18" t="str">
        <f>IFERROR(
  INDEX(TblCadastro[TRABALHA SÁB?],
    MATCH(TblApuracao[[#This Row],[COLABORADOR]],TblCadastro[NOME COMPLETO],0)
  ),
  ""
)</f>
        <v/>
      </c>
      <c r="H19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7" s="34"/>
      <c r="J197" s="34"/>
      <c r="K197" s="34"/>
      <c r="L197" s="21">
        <f>TblApuracao[[#This Row],[HRS EXTRAS (h:mm)]]-TblApuracao[[#This Row],[FALTAS/ATRASOS (h:mm)]]+TblApuracao[[#This Row],[AJUSTE MANUAL (h:mm)]]</f>
        <v>0</v>
      </c>
      <c r="M197" s="21">
        <f>SUMPRODUCT((TblApuracao[COLABORADOR]=TblApuracao[[#This Row],[COLABORADOR]])*(TblApuracao[COMPETÊNCIA]&lt;=TblApuracao[[#This Row],[COMPETÊNCIA]])*TblApuracao[HRS EXTRAS (h:mm)])</f>
        <v>0</v>
      </c>
      <c r="N197" s="21">
        <f>SUMPRODUCT((TblApuracao[COLABORADOR]=TblApuracao[[#This Row],[COLABORADOR]])*(TblApuracao[COMPETÊNCIA]&lt;=TblApuracao[[#This Row],[COMPETÊNCIA]])*TblApuracao[FALTAS/ATRASOS (h:mm)])</f>
        <v>0</v>
      </c>
      <c r="O197" s="21">
        <f>TblApuracao[[#This Row],[SALDO ANT. (h:mm)]]+TblApuracao[[#This Row],[SALDO MÊS (h:mm)]]</f>
        <v>0</v>
      </c>
      <c r="P197" s="24"/>
      <c r="Q197" s="24"/>
      <c r="R197" s="24"/>
      <c r="S197" s="24" t="str">
        <f>TblApuracao[[#This Row],[COLABORADOR]]&amp;TblApuracao[[#This Row],[COMPETÊNCIA]]</f>
        <v/>
      </c>
      <c r="T197" s="24">
        <f>ROW(TblApuracao[[#Headers],[COMPETÊNCIA]])</f>
        <v>2</v>
      </c>
      <c r="U197" s="24" t="str">
        <f>TblApuracao[[#This Row],[COLABORADOR]]&amp;TblApuracao[[#This Row],[COMPETÊNCIA]]</f>
        <v/>
      </c>
      <c r="V197" s="24" t="str">
        <f>INDEX(TblApuracao[COMPETÊNCIA],1)</f>
        <v>2026-03</v>
      </c>
      <c r="W197" s="25">
        <f>SUMPRODUCT((TblApuracao[COLABORADOR]="Emanuelly Ribeiro de Aguiar")*(TblApuracao[COMPETÊNCIA]&lt;="2025-09")*(TblApuracao[SALDO MÊS (h:mm)]&gt;0)*TblApuracao[SALDO MÊS (h:mm)])</f>
        <v>0.6875</v>
      </c>
    </row>
    <row r="198" spans="1:23" ht="15" customHeight="1" x14ac:dyDescent="0.25">
      <c r="A198" s="18">
        <f t="shared" si="3"/>
        <v>196</v>
      </c>
      <c r="B198" s="34"/>
      <c r="C198" s="19" t="str">
        <f>IFERROR(
  INDEX(TblCadastro[SETOR],
    MATCH(TblApuracao[[#This Row],[COLABORADOR]],TblCadastro[NOME COMPLETO],0)
  ),
  "Não cadastrado"
)</f>
        <v>Não cadastrado</v>
      </c>
      <c r="D198" s="34"/>
      <c r="E19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8" s="18" t="str">
        <f>IFERROR(
  INDEX(TblCadastro[JORNADA ATUAL (h/dia)],
    MATCH(TblApuracao[[#This Row],[COLABORADOR]],TblCadastro[NOME COMPLETO],0)
  ),
  ""
)</f>
        <v/>
      </c>
      <c r="G198" s="18" t="str">
        <f>IFERROR(
  INDEX(TblCadastro[TRABALHA SÁB?],
    MATCH(TblApuracao[[#This Row],[COLABORADOR]],TblCadastro[NOME COMPLETO],0)
  ),
  ""
)</f>
        <v/>
      </c>
      <c r="H19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8" s="34"/>
      <c r="J198" s="34"/>
      <c r="K198" s="34"/>
      <c r="L198" s="21">
        <f>TblApuracao[[#This Row],[HRS EXTRAS (h:mm)]]-TblApuracao[[#This Row],[FALTAS/ATRASOS (h:mm)]]+TblApuracao[[#This Row],[AJUSTE MANUAL (h:mm)]]</f>
        <v>0</v>
      </c>
      <c r="M198" s="21">
        <f>SUMPRODUCT((TblApuracao[COLABORADOR]=TblApuracao[[#This Row],[COLABORADOR]])*(TblApuracao[COMPETÊNCIA]&lt;=TblApuracao[[#This Row],[COMPETÊNCIA]])*TblApuracao[HRS EXTRAS (h:mm)])</f>
        <v>0</v>
      </c>
      <c r="N198" s="21">
        <f>SUMPRODUCT((TblApuracao[COLABORADOR]=TblApuracao[[#This Row],[COLABORADOR]])*(TblApuracao[COMPETÊNCIA]&lt;=TblApuracao[[#This Row],[COMPETÊNCIA]])*TblApuracao[FALTAS/ATRASOS (h:mm)])</f>
        <v>0</v>
      </c>
      <c r="O198" s="21">
        <f>TblApuracao[[#This Row],[SALDO ANT. (h:mm)]]+TblApuracao[[#This Row],[SALDO MÊS (h:mm)]]</f>
        <v>0</v>
      </c>
      <c r="P198" s="24"/>
      <c r="Q198" s="24"/>
      <c r="R198" s="24"/>
      <c r="S198" s="24" t="str">
        <f>TblApuracao[[#This Row],[COLABORADOR]]&amp;TblApuracao[[#This Row],[COMPETÊNCIA]]</f>
        <v/>
      </c>
      <c r="T198" s="24">
        <f>ROW(TblApuracao[[#Headers],[COMPETÊNCIA]])</f>
        <v>2</v>
      </c>
      <c r="U198" s="24" t="str">
        <f>TblApuracao[[#This Row],[COLABORADOR]]&amp;TblApuracao[[#This Row],[COMPETÊNCIA]]</f>
        <v/>
      </c>
      <c r="V198" s="24" t="str">
        <f>INDEX(TblApuracao[COMPETÊNCIA],1)</f>
        <v>2026-03</v>
      </c>
      <c r="W198" s="25">
        <f>SUMPRODUCT((TblApuracao[COLABORADOR]="Emanuelly Ribeiro de Aguiar")*(TblApuracao[COMPETÊNCIA]&lt;="2025-09")*(TblApuracao[SALDO MÊS (h:mm)]&gt;0)*TblApuracao[SALDO MÊS (h:mm)])</f>
        <v>0.6875</v>
      </c>
    </row>
    <row r="199" spans="1:23" ht="15" customHeight="1" x14ac:dyDescent="0.25">
      <c r="A199" s="18">
        <f t="shared" si="3"/>
        <v>197</v>
      </c>
      <c r="B199" s="34"/>
      <c r="C199" s="19" t="str">
        <f>IFERROR(
  INDEX(TblCadastro[SETOR],
    MATCH(TblApuracao[[#This Row],[COLABORADOR]],TblCadastro[NOME COMPLETO],0)
  ),
  "Não cadastrado"
)</f>
        <v>Não cadastrado</v>
      </c>
      <c r="D199" s="34"/>
      <c r="E19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9" s="18" t="str">
        <f>IFERROR(
  INDEX(TblCadastro[JORNADA ATUAL (h/dia)],
    MATCH(TblApuracao[[#This Row],[COLABORADOR]],TblCadastro[NOME COMPLETO],0)
  ),
  ""
)</f>
        <v/>
      </c>
      <c r="G199" s="18" t="str">
        <f>IFERROR(
  INDEX(TblCadastro[TRABALHA SÁB?],
    MATCH(TblApuracao[[#This Row],[COLABORADOR]],TblCadastro[NOME COMPLETO],0)
  ),
  ""
)</f>
        <v/>
      </c>
      <c r="H19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9" s="34"/>
      <c r="J199" s="34"/>
      <c r="K199" s="34"/>
      <c r="L199" s="21">
        <f>TblApuracao[[#This Row],[HRS EXTRAS (h:mm)]]-TblApuracao[[#This Row],[FALTAS/ATRASOS (h:mm)]]+TblApuracao[[#This Row],[AJUSTE MANUAL (h:mm)]]</f>
        <v>0</v>
      </c>
      <c r="M199" s="21">
        <f>SUMPRODUCT((TblApuracao[COLABORADOR]=TblApuracao[[#This Row],[COLABORADOR]])*(TblApuracao[COMPETÊNCIA]&lt;=TblApuracao[[#This Row],[COMPETÊNCIA]])*TblApuracao[HRS EXTRAS (h:mm)])</f>
        <v>0</v>
      </c>
      <c r="N199" s="21">
        <f>SUMPRODUCT((TblApuracao[COLABORADOR]=TblApuracao[[#This Row],[COLABORADOR]])*(TblApuracao[COMPETÊNCIA]&lt;=TblApuracao[[#This Row],[COMPETÊNCIA]])*TblApuracao[FALTAS/ATRASOS (h:mm)])</f>
        <v>0</v>
      </c>
      <c r="O199" s="21">
        <f>TblApuracao[[#This Row],[SALDO ANT. (h:mm)]]+TblApuracao[[#This Row],[SALDO MÊS (h:mm)]]</f>
        <v>0</v>
      </c>
      <c r="P199" s="24"/>
      <c r="Q199" s="24"/>
      <c r="R199" s="24"/>
      <c r="S199" s="24" t="str">
        <f>TblApuracao[[#This Row],[COLABORADOR]]&amp;TblApuracao[[#This Row],[COMPETÊNCIA]]</f>
        <v/>
      </c>
      <c r="T199" s="24">
        <f>ROW(TblApuracao[[#Headers],[COMPETÊNCIA]])</f>
        <v>2</v>
      </c>
      <c r="U199" s="24" t="str">
        <f>TblApuracao[[#This Row],[COLABORADOR]]&amp;TblApuracao[[#This Row],[COMPETÊNCIA]]</f>
        <v/>
      </c>
      <c r="V199" s="24" t="str">
        <f>INDEX(TblApuracao[COMPETÊNCIA],1)</f>
        <v>2026-03</v>
      </c>
      <c r="W199" s="25">
        <f>SUMPRODUCT((TblApuracao[COLABORADOR]="Emanuelly Ribeiro de Aguiar")*(TblApuracao[COMPETÊNCIA]&lt;="2025-09")*(TblApuracao[SALDO MÊS (h:mm)]&gt;0)*TblApuracao[SALDO MÊS (h:mm)])</f>
        <v>0.6875</v>
      </c>
    </row>
    <row r="200" spans="1:23" ht="15" customHeight="1" x14ac:dyDescent="0.25">
      <c r="A200" s="18">
        <f t="shared" si="3"/>
        <v>198</v>
      </c>
      <c r="B200" s="34"/>
      <c r="C200" s="19" t="str">
        <f>IFERROR(
  INDEX(TblCadastro[SETOR],
    MATCH(TblApuracao[[#This Row],[COLABORADOR]],TblCadastro[NOME COMPLETO],0)
  ),
  "Não cadastrado"
)</f>
        <v>Não cadastrado</v>
      </c>
      <c r="D200" s="34"/>
      <c r="E20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0" s="18" t="str">
        <f>IFERROR(
  INDEX(TblCadastro[JORNADA ATUAL (h/dia)],
    MATCH(TblApuracao[[#This Row],[COLABORADOR]],TblCadastro[NOME COMPLETO],0)
  ),
  ""
)</f>
        <v/>
      </c>
      <c r="G200" s="18" t="str">
        <f>IFERROR(
  INDEX(TblCadastro[TRABALHA SÁB?],
    MATCH(TblApuracao[[#This Row],[COLABORADOR]],TblCadastro[NOME COMPLETO],0)
  ),
  ""
)</f>
        <v/>
      </c>
      <c r="H20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0" s="34"/>
      <c r="J200" s="34"/>
      <c r="K200" s="34"/>
      <c r="L200" s="21">
        <f>TblApuracao[[#This Row],[HRS EXTRAS (h:mm)]]-TblApuracao[[#This Row],[FALTAS/ATRASOS (h:mm)]]+TblApuracao[[#This Row],[AJUSTE MANUAL (h:mm)]]</f>
        <v>0</v>
      </c>
      <c r="M200" s="21">
        <f>SUMPRODUCT((TblApuracao[COLABORADOR]=TblApuracao[[#This Row],[COLABORADOR]])*(TblApuracao[COMPETÊNCIA]&lt;=TblApuracao[[#This Row],[COMPETÊNCIA]])*TblApuracao[HRS EXTRAS (h:mm)])</f>
        <v>0</v>
      </c>
      <c r="N200" s="21">
        <f>SUMPRODUCT((TblApuracao[COLABORADOR]=TblApuracao[[#This Row],[COLABORADOR]])*(TblApuracao[COMPETÊNCIA]&lt;=TblApuracao[[#This Row],[COMPETÊNCIA]])*TblApuracao[FALTAS/ATRASOS (h:mm)])</f>
        <v>0</v>
      </c>
      <c r="O200" s="21">
        <f>TblApuracao[[#This Row],[SALDO ANT. (h:mm)]]+TblApuracao[[#This Row],[SALDO MÊS (h:mm)]]</f>
        <v>0</v>
      </c>
      <c r="P200" s="24"/>
      <c r="Q200" s="24"/>
      <c r="R200" s="24"/>
      <c r="S200" s="24" t="str">
        <f>TblApuracao[[#This Row],[COLABORADOR]]&amp;TblApuracao[[#This Row],[COMPETÊNCIA]]</f>
        <v/>
      </c>
      <c r="T200" s="24">
        <f>ROW(TblApuracao[[#Headers],[COMPETÊNCIA]])</f>
        <v>2</v>
      </c>
      <c r="U200" s="24" t="str">
        <f>TblApuracao[[#This Row],[COLABORADOR]]&amp;TblApuracao[[#This Row],[COMPETÊNCIA]]</f>
        <v/>
      </c>
      <c r="V200" s="24" t="str">
        <f>INDEX(TblApuracao[COMPETÊNCIA],1)</f>
        <v>2026-03</v>
      </c>
      <c r="W200" s="25">
        <f>SUMPRODUCT((TblApuracao[COLABORADOR]="Emanuelly Ribeiro de Aguiar")*(TblApuracao[COMPETÊNCIA]&lt;="2025-09")*(TblApuracao[SALDO MÊS (h:mm)]&gt;0)*TblApuracao[SALDO MÊS (h:mm)])</f>
        <v>0.6875</v>
      </c>
    </row>
    <row r="201" spans="1:23" ht="15" customHeight="1" x14ac:dyDescent="0.25">
      <c r="A201" s="18">
        <f t="shared" si="3"/>
        <v>199</v>
      </c>
      <c r="B201" s="34"/>
      <c r="C201" s="19" t="str">
        <f>IFERROR(
  INDEX(TblCadastro[SETOR],
    MATCH(TblApuracao[[#This Row],[COLABORADOR]],TblCadastro[NOME COMPLETO],0)
  ),
  "Não cadastrado"
)</f>
        <v>Não cadastrado</v>
      </c>
      <c r="D201" s="34"/>
      <c r="E20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1" s="18" t="str">
        <f>IFERROR(
  INDEX(TblCadastro[JORNADA ATUAL (h/dia)],
    MATCH(TblApuracao[[#This Row],[COLABORADOR]],TblCadastro[NOME COMPLETO],0)
  ),
  ""
)</f>
        <v/>
      </c>
      <c r="G201" s="18" t="str">
        <f>IFERROR(
  INDEX(TblCadastro[TRABALHA SÁB?],
    MATCH(TblApuracao[[#This Row],[COLABORADOR]],TblCadastro[NOME COMPLETO],0)
  ),
  ""
)</f>
        <v/>
      </c>
      <c r="H20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1" s="34"/>
      <c r="J201" s="34"/>
      <c r="K201" s="34"/>
      <c r="L201" s="21">
        <f>TblApuracao[[#This Row],[HRS EXTRAS (h:mm)]]-TblApuracao[[#This Row],[FALTAS/ATRASOS (h:mm)]]+TblApuracao[[#This Row],[AJUSTE MANUAL (h:mm)]]</f>
        <v>0</v>
      </c>
      <c r="M201" s="21">
        <f>SUMPRODUCT((TblApuracao[COLABORADOR]=TblApuracao[[#This Row],[COLABORADOR]])*(TblApuracao[COMPETÊNCIA]&lt;=TblApuracao[[#This Row],[COMPETÊNCIA]])*TblApuracao[HRS EXTRAS (h:mm)])</f>
        <v>0</v>
      </c>
      <c r="N201" s="21">
        <f>SUMPRODUCT((TblApuracao[COLABORADOR]=TblApuracao[[#This Row],[COLABORADOR]])*(TblApuracao[COMPETÊNCIA]&lt;=TblApuracao[[#This Row],[COMPETÊNCIA]])*TblApuracao[FALTAS/ATRASOS (h:mm)])</f>
        <v>0</v>
      </c>
      <c r="O201" s="21">
        <f>TblApuracao[[#This Row],[SALDO ANT. (h:mm)]]+TblApuracao[[#This Row],[SALDO MÊS (h:mm)]]</f>
        <v>0</v>
      </c>
      <c r="P201" s="24"/>
      <c r="Q201" s="24"/>
      <c r="R201" s="24"/>
      <c r="S201" s="24" t="str">
        <f>TblApuracao[[#This Row],[COLABORADOR]]&amp;TblApuracao[[#This Row],[COMPETÊNCIA]]</f>
        <v/>
      </c>
      <c r="T201" s="24">
        <f>ROW(TblApuracao[[#Headers],[COMPETÊNCIA]])</f>
        <v>2</v>
      </c>
      <c r="U201" s="24" t="str">
        <f>TblApuracao[[#This Row],[COLABORADOR]]&amp;TblApuracao[[#This Row],[COMPETÊNCIA]]</f>
        <v/>
      </c>
      <c r="V201" s="24" t="str">
        <f>INDEX(TblApuracao[COMPETÊNCIA],1)</f>
        <v>2026-03</v>
      </c>
      <c r="W201" s="25">
        <f>SUMPRODUCT((TblApuracao[COLABORADOR]="Emanuelly Ribeiro de Aguiar")*(TblApuracao[COMPETÊNCIA]&lt;="2025-09")*(TblApuracao[SALDO MÊS (h:mm)]&gt;0)*TblApuracao[SALDO MÊS (h:mm)])</f>
        <v>0.6875</v>
      </c>
    </row>
    <row r="202" spans="1:23" ht="15" customHeight="1" x14ac:dyDescent="0.25">
      <c r="A202" s="18">
        <f t="shared" si="3"/>
        <v>200</v>
      </c>
      <c r="B202" s="34"/>
      <c r="C202" s="19" t="str">
        <f>IFERROR(
  INDEX(TblCadastro[SETOR],
    MATCH(TblApuracao[[#This Row],[COLABORADOR]],TblCadastro[NOME COMPLETO],0)
  ),
  "Não cadastrado"
)</f>
        <v>Não cadastrado</v>
      </c>
      <c r="D202" s="34"/>
      <c r="E20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2" s="18" t="str">
        <f>IFERROR(
  INDEX(TblCadastro[JORNADA ATUAL (h/dia)],
    MATCH(TblApuracao[[#This Row],[COLABORADOR]],TblCadastro[NOME COMPLETO],0)
  ),
  ""
)</f>
        <v/>
      </c>
      <c r="G202" s="18" t="str">
        <f>IFERROR(
  INDEX(TblCadastro[TRABALHA SÁB?],
    MATCH(TblApuracao[[#This Row],[COLABORADOR]],TblCadastro[NOME COMPLETO],0)
  ),
  ""
)</f>
        <v/>
      </c>
      <c r="H20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2" s="34"/>
      <c r="J202" s="34"/>
      <c r="K202" s="34"/>
      <c r="L202" s="21">
        <f>TblApuracao[[#This Row],[HRS EXTRAS (h:mm)]]-TblApuracao[[#This Row],[FALTAS/ATRASOS (h:mm)]]+TblApuracao[[#This Row],[AJUSTE MANUAL (h:mm)]]</f>
        <v>0</v>
      </c>
      <c r="M202" s="21">
        <f>SUMPRODUCT((TblApuracao[COLABORADOR]=TblApuracao[[#This Row],[COLABORADOR]])*(TblApuracao[COMPETÊNCIA]&lt;=TblApuracao[[#This Row],[COMPETÊNCIA]])*TblApuracao[HRS EXTRAS (h:mm)])</f>
        <v>0</v>
      </c>
      <c r="N202" s="21">
        <f>SUMPRODUCT((TblApuracao[COLABORADOR]=TblApuracao[[#This Row],[COLABORADOR]])*(TblApuracao[COMPETÊNCIA]&lt;=TblApuracao[[#This Row],[COMPETÊNCIA]])*TblApuracao[FALTAS/ATRASOS (h:mm)])</f>
        <v>0</v>
      </c>
      <c r="O202" s="21">
        <f>TblApuracao[[#This Row],[SALDO ANT. (h:mm)]]+TblApuracao[[#This Row],[SALDO MÊS (h:mm)]]</f>
        <v>0</v>
      </c>
      <c r="P202" s="24"/>
      <c r="Q202" s="24"/>
      <c r="R202" s="24"/>
      <c r="S202" s="24" t="str">
        <f>TblApuracao[[#This Row],[COLABORADOR]]&amp;TblApuracao[[#This Row],[COMPETÊNCIA]]</f>
        <v/>
      </c>
      <c r="T202" s="24">
        <f>ROW(TblApuracao[[#Headers],[COMPETÊNCIA]])</f>
        <v>2</v>
      </c>
      <c r="U202" s="24" t="str">
        <f>TblApuracao[[#This Row],[COLABORADOR]]&amp;TblApuracao[[#This Row],[COMPETÊNCIA]]</f>
        <v/>
      </c>
      <c r="V202" s="24" t="str">
        <f>INDEX(TblApuracao[COMPETÊNCIA],1)</f>
        <v>2026-03</v>
      </c>
      <c r="W202" s="25">
        <f>SUMPRODUCT((TblApuracao[COLABORADOR]="Emanuelly Ribeiro de Aguiar")*(TblApuracao[COMPETÊNCIA]&lt;="2025-09")*(TblApuracao[SALDO MÊS (h:mm)]&gt;0)*TblApuracao[SALDO MÊS (h:mm)])</f>
        <v>0.6875</v>
      </c>
    </row>
    <row r="203" spans="1:23" ht="15" customHeight="1" x14ac:dyDescent="0.25">
      <c r="A203" s="18">
        <f t="shared" si="3"/>
        <v>201</v>
      </c>
      <c r="B203" s="34"/>
      <c r="C203" s="19" t="str">
        <f>IFERROR(
  INDEX(TblCadastro[SETOR],
    MATCH(TblApuracao[[#This Row],[COLABORADOR]],TblCadastro[NOME COMPLETO],0)
  ),
  "Não cadastrado"
)</f>
        <v>Não cadastrado</v>
      </c>
      <c r="D203" s="34"/>
      <c r="E20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3" s="18" t="str">
        <f>IFERROR(
  INDEX(TblCadastro[JORNADA ATUAL (h/dia)],
    MATCH(TblApuracao[[#This Row],[COLABORADOR]],TblCadastro[NOME COMPLETO],0)
  ),
  ""
)</f>
        <v/>
      </c>
      <c r="G203" s="18" t="str">
        <f>IFERROR(
  INDEX(TblCadastro[TRABALHA SÁB?],
    MATCH(TblApuracao[[#This Row],[COLABORADOR]],TblCadastro[NOME COMPLETO],0)
  ),
  ""
)</f>
        <v/>
      </c>
      <c r="H20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3" s="34"/>
      <c r="J203" s="34"/>
      <c r="K203" s="34"/>
      <c r="L203" s="21">
        <f>TblApuracao[[#This Row],[HRS EXTRAS (h:mm)]]-TblApuracao[[#This Row],[FALTAS/ATRASOS (h:mm)]]+TblApuracao[[#This Row],[AJUSTE MANUAL (h:mm)]]</f>
        <v>0</v>
      </c>
      <c r="M203" s="21">
        <f>SUMPRODUCT((TblApuracao[COLABORADOR]=TblApuracao[[#This Row],[COLABORADOR]])*(TblApuracao[COMPETÊNCIA]&lt;=TblApuracao[[#This Row],[COMPETÊNCIA]])*TblApuracao[HRS EXTRAS (h:mm)])</f>
        <v>0</v>
      </c>
      <c r="N203" s="21">
        <f>SUMPRODUCT((TblApuracao[COLABORADOR]=TblApuracao[[#This Row],[COLABORADOR]])*(TblApuracao[COMPETÊNCIA]&lt;=TblApuracao[[#This Row],[COMPETÊNCIA]])*TblApuracao[FALTAS/ATRASOS (h:mm)])</f>
        <v>0</v>
      </c>
      <c r="O203" s="21">
        <f>TblApuracao[[#This Row],[SALDO ANT. (h:mm)]]+TblApuracao[[#This Row],[SALDO MÊS (h:mm)]]</f>
        <v>0</v>
      </c>
      <c r="P203" s="24"/>
      <c r="Q203" s="24"/>
      <c r="R203" s="24"/>
      <c r="S203" s="24" t="str">
        <f>TblApuracao[[#This Row],[COLABORADOR]]&amp;TblApuracao[[#This Row],[COMPETÊNCIA]]</f>
        <v/>
      </c>
      <c r="T203" s="24">
        <f>ROW(TblApuracao[[#Headers],[COMPETÊNCIA]])</f>
        <v>2</v>
      </c>
      <c r="U203" s="24" t="str">
        <f>TblApuracao[[#This Row],[COLABORADOR]]&amp;TblApuracao[[#This Row],[COMPETÊNCIA]]</f>
        <v/>
      </c>
      <c r="V203" s="24" t="str">
        <f>INDEX(TblApuracao[COMPETÊNCIA],1)</f>
        <v>2026-03</v>
      </c>
      <c r="W203" s="25">
        <f>SUMPRODUCT((TblApuracao[COLABORADOR]="Emanuelly Ribeiro de Aguiar")*(TblApuracao[COMPETÊNCIA]&lt;="2025-09")*(TblApuracao[SALDO MÊS (h:mm)]&gt;0)*TblApuracao[SALDO MÊS (h:mm)])</f>
        <v>0.6875</v>
      </c>
    </row>
    <row r="204" spans="1:23" ht="15" customHeight="1" x14ac:dyDescent="0.25">
      <c r="A204" s="18">
        <f t="shared" si="3"/>
        <v>202</v>
      </c>
      <c r="B204" s="34"/>
      <c r="C204" s="19" t="str">
        <f>IFERROR(
  INDEX(TblCadastro[SETOR],
    MATCH(TblApuracao[[#This Row],[COLABORADOR]],TblCadastro[NOME COMPLETO],0)
  ),
  "Não cadastrado"
)</f>
        <v>Não cadastrado</v>
      </c>
      <c r="D204" s="34"/>
      <c r="E20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4" s="18" t="str">
        <f>IFERROR(
  INDEX(TblCadastro[JORNADA ATUAL (h/dia)],
    MATCH(TblApuracao[[#This Row],[COLABORADOR]],TblCadastro[NOME COMPLETO],0)
  ),
  ""
)</f>
        <v/>
      </c>
      <c r="G204" s="18" t="str">
        <f>IFERROR(
  INDEX(TblCadastro[TRABALHA SÁB?],
    MATCH(TblApuracao[[#This Row],[COLABORADOR]],TblCadastro[NOME COMPLETO],0)
  ),
  ""
)</f>
        <v/>
      </c>
      <c r="H20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4" s="34"/>
      <c r="J204" s="34"/>
      <c r="K204" s="34"/>
      <c r="L204" s="21">
        <f>TblApuracao[[#This Row],[HRS EXTRAS (h:mm)]]-TblApuracao[[#This Row],[FALTAS/ATRASOS (h:mm)]]+TblApuracao[[#This Row],[AJUSTE MANUAL (h:mm)]]</f>
        <v>0</v>
      </c>
      <c r="M204" s="21">
        <f>SUMPRODUCT((TblApuracao[COLABORADOR]=TblApuracao[[#This Row],[COLABORADOR]])*(TblApuracao[COMPETÊNCIA]&lt;=TblApuracao[[#This Row],[COMPETÊNCIA]])*TblApuracao[HRS EXTRAS (h:mm)])</f>
        <v>0</v>
      </c>
      <c r="N204" s="21">
        <f>SUMPRODUCT((TblApuracao[COLABORADOR]=TblApuracao[[#This Row],[COLABORADOR]])*(TblApuracao[COMPETÊNCIA]&lt;=TblApuracao[[#This Row],[COMPETÊNCIA]])*TblApuracao[FALTAS/ATRASOS (h:mm)])</f>
        <v>0</v>
      </c>
      <c r="O204" s="21">
        <f>TblApuracao[[#This Row],[SALDO ANT. (h:mm)]]+TblApuracao[[#This Row],[SALDO MÊS (h:mm)]]</f>
        <v>0</v>
      </c>
      <c r="P204" s="24"/>
      <c r="Q204" s="24"/>
      <c r="R204" s="24"/>
      <c r="S204" s="24" t="str">
        <f>TblApuracao[[#This Row],[COLABORADOR]]&amp;TblApuracao[[#This Row],[COMPETÊNCIA]]</f>
        <v/>
      </c>
      <c r="T204" s="24">
        <f>ROW(TblApuracao[[#Headers],[COMPETÊNCIA]])</f>
        <v>2</v>
      </c>
      <c r="U204" s="24" t="str">
        <f>TblApuracao[[#This Row],[COLABORADOR]]&amp;TblApuracao[[#This Row],[COMPETÊNCIA]]</f>
        <v/>
      </c>
      <c r="V204" s="24" t="str">
        <f>INDEX(TblApuracao[COMPETÊNCIA],1)</f>
        <v>2026-03</v>
      </c>
      <c r="W204" s="25">
        <f>SUMPRODUCT((TblApuracao[COLABORADOR]="Emanuelly Ribeiro de Aguiar")*(TblApuracao[COMPETÊNCIA]&lt;="2025-09")*(TblApuracao[SALDO MÊS (h:mm)]&gt;0)*TblApuracao[SALDO MÊS (h:mm)])</f>
        <v>0.6875</v>
      </c>
    </row>
    <row r="205" spans="1:23" ht="15" customHeight="1" x14ac:dyDescent="0.25">
      <c r="A205" s="18">
        <f t="shared" si="3"/>
        <v>203</v>
      </c>
      <c r="B205" s="34"/>
      <c r="C205" s="19" t="str">
        <f>IFERROR(
  INDEX(TblCadastro[SETOR],
    MATCH(TblApuracao[[#This Row],[COLABORADOR]],TblCadastro[NOME COMPLETO],0)
  ),
  "Não cadastrado"
)</f>
        <v>Não cadastrado</v>
      </c>
      <c r="D205" s="34"/>
      <c r="E20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5" s="18" t="str">
        <f>IFERROR(
  INDEX(TblCadastro[JORNADA ATUAL (h/dia)],
    MATCH(TblApuracao[[#This Row],[COLABORADOR]],TblCadastro[NOME COMPLETO],0)
  ),
  ""
)</f>
        <v/>
      </c>
      <c r="G205" s="18" t="str">
        <f>IFERROR(
  INDEX(TblCadastro[TRABALHA SÁB?],
    MATCH(TblApuracao[[#This Row],[COLABORADOR]],TblCadastro[NOME COMPLETO],0)
  ),
  ""
)</f>
        <v/>
      </c>
      <c r="H20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5" s="34"/>
      <c r="J205" s="34"/>
      <c r="K205" s="34"/>
      <c r="L205" s="21">
        <f>TblApuracao[[#This Row],[HRS EXTRAS (h:mm)]]-TblApuracao[[#This Row],[FALTAS/ATRASOS (h:mm)]]+TblApuracao[[#This Row],[AJUSTE MANUAL (h:mm)]]</f>
        <v>0</v>
      </c>
      <c r="M205" s="21">
        <f>SUMPRODUCT((TblApuracao[COLABORADOR]=TblApuracao[[#This Row],[COLABORADOR]])*(TblApuracao[COMPETÊNCIA]&lt;=TblApuracao[[#This Row],[COMPETÊNCIA]])*TblApuracao[HRS EXTRAS (h:mm)])</f>
        <v>0</v>
      </c>
      <c r="N205" s="21">
        <f>SUMPRODUCT((TblApuracao[COLABORADOR]=TblApuracao[[#This Row],[COLABORADOR]])*(TblApuracao[COMPETÊNCIA]&lt;=TblApuracao[[#This Row],[COMPETÊNCIA]])*TblApuracao[FALTAS/ATRASOS (h:mm)])</f>
        <v>0</v>
      </c>
      <c r="O205" s="21">
        <f>TblApuracao[[#This Row],[SALDO ANT. (h:mm)]]+TblApuracao[[#This Row],[SALDO MÊS (h:mm)]]</f>
        <v>0</v>
      </c>
      <c r="P205" s="24"/>
      <c r="Q205" s="24"/>
      <c r="R205" s="24"/>
      <c r="S205" s="24" t="str">
        <f>TblApuracao[[#This Row],[COLABORADOR]]&amp;TblApuracao[[#This Row],[COMPETÊNCIA]]</f>
        <v/>
      </c>
      <c r="T205" s="24">
        <f>ROW(TblApuracao[[#Headers],[COMPETÊNCIA]])</f>
        <v>2</v>
      </c>
      <c r="U205" s="24" t="str">
        <f>TblApuracao[[#This Row],[COLABORADOR]]&amp;TblApuracao[[#This Row],[COMPETÊNCIA]]</f>
        <v/>
      </c>
      <c r="V205" s="24" t="str">
        <f>INDEX(TblApuracao[COMPETÊNCIA],1)</f>
        <v>2026-03</v>
      </c>
      <c r="W205" s="25">
        <f>SUMPRODUCT((TblApuracao[COLABORADOR]="Emanuelly Ribeiro de Aguiar")*(TblApuracao[COMPETÊNCIA]&lt;="2025-09")*(TblApuracao[SALDO MÊS (h:mm)]&gt;0)*TblApuracao[SALDO MÊS (h:mm)])</f>
        <v>0.6875</v>
      </c>
    </row>
    <row r="206" spans="1:23" ht="15" customHeight="1" x14ac:dyDescent="0.25">
      <c r="A206" s="18">
        <f t="shared" si="3"/>
        <v>204</v>
      </c>
      <c r="B206" s="34"/>
      <c r="C206" s="19" t="str">
        <f>IFERROR(
  INDEX(TblCadastro[SETOR],
    MATCH(TblApuracao[[#This Row],[COLABORADOR]],TblCadastro[NOME COMPLETO],0)
  ),
  "Não cadastrado"
)</f>
        <v>Não cadastrado</v>
      </c>
      <c r="D206" s="34"/>
      <c r="E20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6" s="18" t="str">
        <f>IFERROR(
  INDEX(TblCadastro[JORNADA ATUAL (h/dia)],
    MATCH(TblApuracao[[#This Row],[COLABORADOR]],TblCadastro[NOME COMPLETO],0)
  ),
  ""
)</f>
        <v/>
      </c>
      <c r="G206" s="18" t="str">
        <f>IFERROR(
  INDEX(TblCadastro[TRABALHA SÁB?],
    MATCH(TblApuracao[[#This Row],[COLABORADOR]],TblCadastro[NOME COMPLETO],0)
  ),
  ""
)</f>
        <v/>
      </c>
      <c r="H20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6" s="34"/>
      <c r="J206" s="34"/>
      <c r="K206" s="34"/>
      <c r="L206" s="21">
        <f>TblApuracao[[#This Row],[HRS EXTRAS (h:mm)]]-TblApuracao[[#This Row],[FALTAS/ATRASOS (h:mm)]]+TblApuracao[[#This Row],[AJUSTE MANUAL (h:mm)]]</f>
        <v>0</v>
      </c>
      <c r="M206" s="21">
        <f>SUMPRODUCT((TblApuracao[COLABORADOR]=TblApuracao[[#This Row],[COLABORADOR]])*(TblApuracao[COMPETÊNCIA]&lt;=TblApuracao[[#This Row],[COMPETÊNCIA]])*TblApuracao[HRS EXTRAS (h:mm)])</f>
        <v>0</v>
      </c>
      <c r="N206" s="21">
        <f>SUMPRODUCT((TblApuracao[COLABORADOR]=TblApuracao[[#This Row],[COLABORADOR]])*(TblApuracao[COMPETÊNCIA]&lt;=TblApuracao[[#This Row],[COMPETÊNCIA]])*TblApuracao[FALTAS/ATRASOS (h:mm)])</f>
        <v>0</v>
      </c>
      <c r="O206" s="21">
        <f>TblApuracao[[#This Row],[SALDO ANT. (h:mm)]]+TblApuracao[[#This Row],[SALDO MÊS (h:mm)]]</f>
        <v>0</v>
      </c>
      <c r="P206" s="24"/>
      <c r="Q206" s="24"/>
      <c r="R206" s="24"/>
      <c r="S206" s="24" t="str">
        <f>TblApuracao[[#This Row],[COLABORADOR]]&amp;TblApuracao[[#This Row],[COMPETÊNCIA]]</f>
        <v/>
      </c>
      <c r="T206" s="24">
        <f>ROW(TblApuracao[[#Headers],[COMPETÊNCIA]])</f>
        <v>2</v>
      </c>
      <c r="U206" s="24" t="str">
        <f>TblApuracao[[#This Row],[COLABORADOR]]&amp;TblApuracao[[#This Row],[COMPETÊNCIA]]</f>
        <v/>
      </c>
      <c r="V206" s="24" t="str">
        <f>INDEX(TblApuracao[COMPETÊNCIA],1)</f>
        <v>2026-03</v>
      </c>
      <c r="W206" s="25">
        <f>SUMPRODUCT((TblApuracao[COLABORADOR]="Emanuelly Ribeiro de Aguiar")*(TblApuracao[COMPETÊNCIA]&lt;="2025-09")*(TblApuracao[SALDO MÊS (h:mm)]&gt;0)*TblApuracao[SALDO MÊS (h:mm)])</f>
        <v>0.6875</v>
      </c>
    </row>
    <row r="207" spans="1:23" ht="15" customHeight="1" x14ac:dyDescent="0.25">
      <c r="A207" s="18">
        <f t="shared" si="3"/>
        <v>205</v>
      </c>
      <c r="B207" s="34"/>
      <c r="C207" s="19" t="str">
        <f>IFERROR(
  INDEX(TblCadastro[SETOR],
    MATCH(TblApuracao[[#This Row],[COLABORADOR]],TblCadastro[NOME COMPLETO],0)
  ),
  "Não cadastrado"
)</f>
        <v>Não cadastrado</v>
      </c>
      <c r="D207" s="34"/>
      <c r="E20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7" s="18" t="str">
        <f>IFERROR(
  INDEX(TblCadastro[JORNADA ATUAL (h/dia)],
    MATCH(TblApuracao[[#This Row],[COLABORADOR]],TblCadastro[NOME COMPLETO],0)
  ),
  ""
)</f>
        <v/>
      </c>
      <c r="G207" s="18" t="str">
        <f>IFERROR(
  INDEX(TblCadastro[TRABALHA SÁB?],
    MATCH(TblApuracao[[#This Row],[COLABORADOR]],TblCadastro[NOME COMPLETO],0)
  ),
  ""
)</f>
        <v/>
      </c>
      <c r="H20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7" s="34"/>
      <c r="J207" s="34"/>
      <c r="K207" s="34"/>
      <c r="L207" s="21">
        <f>TblApuracao[[#This Row],[HRS EXTRAS (h:mm)]]-TblApuracao[[#This Row],[FALTAS/ATRASOS (h:mm)]]+TblApuracao[[#This Row],[AJUSTE MANUAL (h:mm)]]</f>
        <v>0</v>
      </c>
      <c r="M207" s="21">
        <f>SUMPRODUCT((TblApuracao[COLABORADOR]=TblApuracao[[#This Row],[COLABORADOR]])*(TblApuracao[COMPETÊNCIA]&lt;=TblApuracao[[#This Row],[COMPETÊNCIA]])*TblApuracao[HRS EXTRAS (h:mm)])</f>
        <v>0</v>
      </c>
      <c r="N207" s="21">
        <f>SUMPRODUCT((TblApuracao[COLABORADOR]=TblApuracao[[#This Row],[COLABORADOR]])*(TblApuracao[COMPETÊNCIA]&lt;=TblApuracao[[#This Row],[COMPETÊNCIA]])*TblApuracao[FALTAS/ATRASOS (h:mm)])</f>
        <v>0</v>
      </c>
      <c r="O207" s="21">
        <f>TblApuracao[[#This Row],[SALDO ANT. (h:mm)]]+TblApuracao[[#This Row],[SALDO MÊS (h:mm)]]</f>
        <v>0</v>
      </c>
      <c r="P207" s="24"/>
      <c r="Q207" s="24"/>
      <c r="R207" s="24"/>
      <c r="S207" s="24" t="str">
        <f>TblApuracao[[#This Row],[COLABORADOR]]&amp;TblApuracao[[#This Row],[COMPETÊNCIA]]</f>
        <v/>
      </c>
      <c r="T207" s="24">
        <f>ROW(TblApuracao[[#Headers],[COMPETÊNCIA]])</f>
        <v>2</v>
      </c>
      <c r="U207" s="24" t="str">
        <f>TblApuracao[[#This Row],[COLABORADOR]]&amp;TblApuracao[[#This Row],[COMPETÊNCIA]]</f>
        <v/>
      </c>
      <c r="V207" s="24" t="str">
        <f>INDEX(TblApuracao[COMPETÊNCIA],1)</f>
        <v>2026-03</v>
      </c>
      <c r="W207" s="25">
        <f>SUMPRODUCT((TblApuracao[COLABORADOR]="Emanuelly Ribeiro de Aguiar")*(TblApuracao[COMPETÊNCIA]&lt;="2025-09")*(TblApuracao[SALDO MÊS (h:mm)]&gt;0)*TblApuracao[SALDO MÊS (h:mm)])</f>
        <v>0.6875</v>
      </c>
    </row>
    <row r="208" spans="1:23" ht="15" customHeight="1" x14ac:dyDescent="0.25">
      <c r="A208" s="18">
        <f t="shared" si="3"/>
        <v>206</v>
      </c>
      <c r="B208" s="34"/>
      <c r="C208" s="19" t="str">
        <f>IFERROR(
  INDEX(TblCadastro[SETOR],
    MATCH(TblApuracao[[#This Row],[COLABORADOR]],TblCadastro[NOME COMPLETO],0)
  ),
  "Não cadastrado"
)</f>
        <v>Não cadastrado</v>
      </c>
      <c r="D208" s="34"/>
      <c r="E20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8" s="18" t="str">
        <f>IFERROR(
  INDEX(TblCadastro[JORNADA ATUAL (h/dia)],
    MATCH(TblApuracao[[#This Row],[COLABORADOR]],TblCadastro[NOME COMPLETO],0)
  ),
  ""
)</f>
        <v/>
      </c>
      <c r="G208" s="18" t="str">
        <f>IFERROR(
  INDEX(TblCadastro[TRABALHA SÁB?],
    MATCH(TblApuracao[[#This Row],[COLABORADOR]],TblCadastro[NOME COMPLETO],0)
  ),
  ""
)</f>
        <v/>
      </c>
      <c r="H20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8" s="34"/>
      <c r="J208" s="34"/>
      <c r="K208" s="34"/>
      <c r="L208" s="21">
        <f>TblApuracao[[#This Row],[HRS EXTRAS (h:mm)]]-TblApuracao[[#This Row],[FALTAS/ATRASOS (h:mm)]]+TblApuracao[[#This Row],[AJUSTE MANUAL (h:mm)]]</f>
        <v>0</v>
      </c>
      <c r="M208" s="21">
        <f>SUMPRODUCT((TblApuracao[COLABORADOR]=TblApuracao[[#This Row],[COLABORADOR]])*(TblApuracao[COMPETÊNCIA]&lt;=TblApuracao[[#This Row],[COMPETÊNCIA]])*TblApuracao[HRS EXTRAS (h:mm)])</f>
        <v>0</v>
      </c>
      <c r="N208" s="21">
        <f>SUMPRODUCT((TblApuracao[COLABORADOR]=TblApuracao[[#This Row],[COLABORADOR]])*(TblApuracao[COMPETÊNCIA]&lt;=TblApuracao[[#This Row],[COMPETÊNCIA]])*TblApuracao[FALTAS/ATRASOS (h:mm)])</f>
        <v>0</v>
      </c>
      <c r="O208" s="21">
        <f>TblApuracao[[#This Row],[SALDO ANT. (h:mm)]]+TblApuracao[[#This Row],[SALDO MÊS (h:mm)]]</f>
        <v>0</v>
      </c>
      <c r="P208" s="24"/>
      <c r="Q208" s="24"/>
      <c r="R208" s="24"/>
      <c r="S208" s="24" t="str">
        <f>TblApuracao[[#This Row],[COLABORADOR]]&amp;TblApuracao[[#This Row],[COMPETÊNCIA]]</f>
        <v/>
      </c>
      <c r="T208" s="24">
        <f>ROW(TblApuracao[[#Headers],[COMPETÊNCIA]])</f>
        <v>2</v>
      </c>
      <c r="U208" s="24" t="str">
        <f>TblApuracao[[#This Row],[COLABORADOR]]&amp;TblApuracao[[#This Row],[COMPETÊNCIA]]</f>
        <v/>
      </c>
      <c r="V208" s="24" t="str">
        <f>INDEX(TblApuracao[COMPETÊNCIA],1)</f>
        <v>2026-03</v>
      </c>
      <c r="W208" s="25">
        <f>SUMPRODUCT((TblApuracao[COLABORADOR]="Emanuelly Ribeiro de Aguiar")*(TblApuracao[COMPETÊNCIA]&lt;="2025-09")*(TblApuracao[SALDO MÊS (h:mm)]&gt;0)*TblApuracao[SALDO MÊS (h:mm)])</f>
        <v>0.6875</v>
      </c>
    </row>
    <row r="209" spans="1:23" ht="15" customHeight="1" x14ac:dyDescent="0.25">
      <c r="A209" s="18">
        <f t="shared" si="3"/>
        <v>207</v>
      </c>
      <c r="B209" s="34"/>
      <c r="C209" s="19" t="str">
        <f>IFERROR(
  INDEX(TblCadastro[SETOR],
    MATCH(TblApuracao[[#This Row],[COLABORADOR]],TblCadastro[NOME COMPLETO],0)
  ),
  "Não cadastrado"
)</f>
        <v>Não cadastrado</v>
      </c>
      <c r="D209" s="34"/>
      <c r="E20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9" s="18" t="str">
        <f>IFERROR(
  INDEX(TblCadastro[JORNADA ATUAL (h/dia)],
    MATCH(TblApuracao[[#This Row],[COLABORADOR]],TblCadastro[NOME COMPLETO],0)
  ),
  ""
)</f>
        <v/>
      </c>
      <c r="G209" s="18" t="str">
        <f>IFERROR(
  INDEX(TblCadastro[TRABALHA SÁB?],
    MATCH(TblApuracao[[#This Row],[COLABORADOR]],TblCadastro[NOME COMPLETO],0)
  ),
  ""
)</f>
        <v/>
      </c>
      <c r="H20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9" s="34"/>
      <c r="J209" s="34"/>
      <c r="K209" s="34"/>
      <c r="L209" s="21">
        <f>TblApuracao[[#This Row],[HRS EXTRAS (h:mm)]]-TblApuracao[[#This Row],[FALTAS/ATRASOS (h:mm)]]+TblApuracao[[#This Row],[AJUSTE MANUAL (h:mm)]]</f>
        <v>0</v>
      </c>
      <c r="M209" s="21">
        <f>SUMPRODUCT((TblApuracao[COLABORADOR]=TblApuracao[[#This Row],[COLABORADOR]])*(TblApuracao[COMPETÊNCIA]&lt;=TblApuracao[[#This Row],[COMPETÊNCIA]])*TblApuracao[HRS EXTRAS (h:mm)])</f>
        <v>0</v>
      </c>
      <c r="N209" s="21">
        <f>SUMPRODUCT((TblApuracao[COLABORADOR]=TblApuracao[[#This Row],[COLABORADOR]])*(TblApuracao[COMPETÊNCIA]&lt;=TblApuracao[[#This Row],[COMPETÊNCIA]])*TblApuracao[FALTAS/ATRASOS (h:mm)])</f>
        <v>0</v>
      </c>
      <c r="O209" s="21">
        <f>TblApuracao[[#This Row],[SALDO ANT. (h:mm)]]+TblApuracao[[#This Row],[SALDO MÊS (h:mm)]]</f>
        <v>0</v>
      </c>
      <c r="P209" s="24"/>
      <c r="Q209" s="24"/>
      <c r="R209" s="24"/>
      <c r="S209" s="24" t="str">
        <f>TblApuracao[[#This Row],[COLABORADOR]]&amp;TblApuracao[[#This Row],[COMPETÊNCIA]]</f>
        <v/>
      </c>
      <c r="T209" s="24">
        <f>ROW(TblApuracao[[#Headers],[COMPETÊNCIA]])</f>
        <v>2</v>
      </c>
      <c r="U209" s="24" t="str">
        <f>TblApuracao[[#This Row],[COLABORADOR]]&amp;TblApuracao[[#This Row],[COMPETÊNCIA]]</f>
        <v/>
      </c>
      <c r="V209" s="24" t="str">
        <f>INDEX(TblApuracao[COMPETÊNCIA],1)</f>
        <v>2026-03</v>
      </c>
      <c r="W209" s="25">
        <f>SUMPRODUCT((TblApuracao[COLABORADOR]="Emanuelly Ribeiro de Aguiar")*(TblApuracao[COMPETÊNCIA]&lt;="2025-09")*(TblApuracao[SALDO MÊS (h:mm)]&gt;0)*TblApuracao[SALDO MÊS (h:mm)])</f>
        <v>0.6875</v>
      </c>
    </row>
    <row r="210" spans="1:23" ht="15" customHeight="1" x14ac:dyDescent="0.25">
      <c r="A210" s="18">
        <f t="shared" si="3"/>
        <v>208</v>
      </c>
      <c r="B210" s="34"/>
      <c r="C210" s="19" t="str">
        <f>IFERROR(
  INDEX(TblCadastro[SETOR],
    MATCH(TblApuracao[[#This Row],[COLABORADOR]],TblCadastro[NOME COMPLETO],0)
  ),
  "Não cadastrado"
)</f>
        <v>Não cadastrado</v>
      </c>
      <c r="D210" s="34"/>
      <c r="E21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0" s="18" t="str">
        <f>IFERROR(
  INDEX(TblCadastro[JORNADA ATUAL (h/dia)],
    MATCH(TblApuracao[[#This Row],[COLABORADOR]],TblCadastro[NOME COMPLETO],0)
  ),
  ""
)</f>
        <v/>
      </c>
      <c r="G210" s="18" t="str">
        <f>IFERROR(
  INDEX(TblCadastro[TRABALHA SÁB?],
    MATCH(TblApuracao[[#This Row],[COLABORADOR]],TblCadastro[NOME COMPLETO],0)
  ),
  ""
)</f>
        <v/>
      </c>
      <c r="H21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0" s="34"/>
      <c r="J210" s="34"/>
      <c r="K210" s="34"/>
      <c r="L210" s="21">
        <f>TblApuracao[[#This Row],[HRS EXTRAS (h:mm)]]-TblApuracao[[#This Row],[FALTAS/ATRASOS (h:mm)]]+TblApuracao[[#This Row],[AJUSTE MANUAL (h:mm)]]</f>
        <v>0</v>
      </c>
      <c r="M210" s="21">
        <f>SUMPRODUCT((TblApuracao[COLABORADOR]=TblApuracao[[#This Row],[COLABORADOR]])*(TblApuracao[COMPETÊNCIA]&lt;=TblApuracao[[#This Row],[COMPETÊNCIA]])*TblApuracao[HRS EXTRAS (h:mm)])</f>
        <v>0</v>
      </c>
      <c r="N210" s="21">
        <f>SUMPRODUCT((TblApuracao[COLABORADOR]=TblApuracao[[#This Row],[COLABORADOR]])*(TblApuracao[COMPETÊNCIA]&lt;=TblApuracao[[#This Row],[COMPETÊNCIA]])*TblApuracao[FALTAS/ATRASOS (h:mm)])</f>
        <v>0</v>
      </c>
      <c r="O210" s="21">
        <f>TblApuracao[[#This Row],[SALDO ANT. (h:mm)]]+TblApuracao[[#This Row],[SALDO MÊS (h:mm)]]</f>
        <v>0</v>
      </c>
      <c r="P210" s="24"/>
      <c r="Q210" s="24"/>
      <c r="R210" s="24"/>
      <c r="S210" s="24" t="str">
        <f>TblApuracao[[#This Row],[COLABORADOR]]&amp;TblApuracao[[#This Row],[COMPETÊNCIA]]</f>
        <v/>
      </c>
      <c r="T210" s="24">
        <f>ROW(TblApuracao[[#Headers],[COMPETÊNCIA]])</f>
        <v>2</v>
      </c>
      <c r="U210" s="24" t="str">
        <f>TblApuracao[[#This Row],[COLABORADOR]]&amp;TblApuracao[[#This Row],[COMPETÊNCIA]]</f>
        <v/>
      </c>
      <c r="V210" s="24" t="str">
        <f>INDEX(TblApuracao[COMPETÊNCIA],1)</f>
        <v>2026-03</v>
      </c>
      <c r="W210" s="25">
        <f>SUMPRODUCT((TblApuracao[COLABORADOR]="Emanuelly Ribeiro de Aguiar")*(TblApuracao[COMPETÊNCIA]&lt;="2025-09")*(TblApuracao[SALDO MÊS (h:mm)]&gt;0)*TblApuracao[SALDO MÊS (h:mm)])</f>
        <v>0.6875</v>
      </c>
    </row>
    <row r="211" spans="1:23" ht="15" customHeight="1" x14ac:dyDescent="0.25">
      <c r="A211" s="18">
        <f t="shared" si="3"/>
        <v>209</v>
      </c>
      <c r="B211" s="34"/>
      <c r="C211" s="19" t="str">
        <f>IFERROR(
  INDEX(TblCadastro[SETOR],
    MATCH(TblApuracao[[#This Row],[COLABORADOR]],TblCadastro[NOME COMPLETO],0)
  ),
  "Não cadastrado"
)</f>
        <v>Não cadastrado</v>
      </c>
      <c r="D211" s="34"/>
      <c r="E21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1" s="18" t="str">
        <f>IFERROR(
  INDEX(TblCadastro[JORNADA ATUAL (h/dia)],
    MATCH(TblApuracao[[#This Row],[COLABORADOR]],TblCadastro[NOME COMPLETO],0)
  ),
  ""
)</f>
        <v/>
      </c>
      <c r="G211" s="18" t="str">
        <f>IFERROR(
  INDEX(TblCadastro[TRABALHA SÁB?],
    MATCH(TblApuracao[[#This Row],[COLABORADOR]],TblCadastro[NOME COMPLETO],0)
  ),
  ""
)</f>
        <v/>
      </c>
      <c r="H21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1" s="34"/>
      <c r="J211" s="34"/>
      <c r="K211" s="34"/>
      <c r="L211" s="21">
        <f>TblApuracao[[#This Row],[HRS EXTRAS (h:mm)]]-TblApuracao[[#This Row],[FALTAS/ATRASOS (h:mm)]]+TblApuracao[[#This Row],[AJUSTE MANUAL (h:mm)]]</f>
        <v>0</v>
      </c>
      <c r="M211" s="21">
        <f>SUMPRODUCT((TblApuracao[COLABORADOR]=TblApuracao[[#This Row],[COLABORADOR]])*(TblApuracao[COMPETÊNCIA]&lt;=TblApuracao[[#This Row],[COMPETÊNCIA]])*TblApuracao[HRS EXTRAS (h:mm)])</f>
        <v>0</v>
      </c>
      <c r="N211" s="21">
        <f>SUMPRODUCT((TblApuracao[COLABORADOR]=TblApuracao[[#This Row],[COLABORADOR]])*(TblApuracao[COMPETÊNCIA]&lt;=TblApuracao[[#This Row],[COMPETÊNCIA]])*TblApuracao[FALTAS/ATRASOS (h:mm)])</f>
        <v>0</v>
      </c>
      <c r="O211" s="21">
        <f>TblApuracao[[#This Row],[SALDO ANT. (h:mm)]]+TblApuracao[[#This Row],[SALDO MÊS (h:mm)]]</f>
        <v>0</v>
      </c>
      <c r="P211" s="24"/>
      <c r="Q211" s="24"/>
      <c r="R211" s="24"/>
      <c r="S211" s="24" t="str">
        <f>TblApuracao[[#This Row],[COLABORADOR]]&amp;TblApuracao[[#This Row],[COMPETÊNCIA]]</f>
        <v/>
      </c>
      <c r="T211" s="24">
        <f>ROW(TblApuracao[[#Headers],[COMPETÊNCIA]])</f>
        <v>2</v>
      </c>
      <c r="U211" s="24" t="str">
        <f>TblApuracao[[#This Row],[COLABORADOR]]&amp;TblApuracao[[#This Row],[COMPETÊNCIA]]</f>
        <v/>
      </c>
      <c r="V211" s="24" t="str">
        <f>INDEX(TblApuracao[COMPETÊNCIA],1)</f>
        <v>2026-03</v>
      </c>
      <c r="W211" s="25">
        <f>SUMPRODUCT((TblApuracao[COLABORADOR]="Emanuelly Ribeiro de Aguiar")*(TblApuracao[COMPETÊNCIA]&lt;="2025-09")*(TblApuracao[SALDO MÊS (h:mm)]&gt;0)*TblApuracao[SALDO MÊS (h:mm)])</f>
        <v>0.6875</v>
      </c>
    </row>
    <row r="212" spans="1:23" ht="15" customHeight="1" x14ac:dyDescent="0.25">
      <c r="A212" s="18">
        <f t="shared" si="3"/>
        <v>210</v>
      </c>
      <c r="B212" s="34"/>
      <c r="C212" s="19" t="str">
        <f>IFERROR(
  INDEX(TblCadastro[SETOR],
    MATCH(TblApuracao[[#This Row],[COLABORADOR]],TblCadastro[NOME COMPLETO],0)
  ),
  "Não cadastrado"
)</f>
        <v>Não cadastrado</v>
      </c>
      <c r="D212" s="34"/>
      <c r="E21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2" s="18" t="str">
        <f>IFERROR(
  INDEX(TblCadastro[JORNADA ATUAL (h/dia)],
    MATCH(TblApuracao[[#This Row],[COLABORADOR]],TblCadastro[NOME COMPLETO],0)
  ),
  ""
)</f>
        <v/>
      </c>
      <c r="G212" s="18" t="str">
        <f>IFERROR(
  INDEX(TblCadastro[TRABALHA SÁB?],
    MATCH(TblApuracao[[#This Row],[COLABORADOR]],TblCadastro[NOME COMPLETO],0)
  ),
  ""
)</f>
        <v/>
      </c>
      <c r="H21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2" s="34"/>
      <c r="J212" s="34"/>
      <c r="K212" s="34"/>
      <c r="L212" s="21">
        <f>TblApuracao[[#This Row],[HRS EXTRAS (h:mm)]]-TblApuracao[[#This Row],[FALTAS/ATRASOS (h:mm)]]+TblApuracao[[#This Row],[AJUSTE MANUAL (h:mm)]]</f>
        <v>0</v>
      </c>
      <c r="M212" s="21">
        <f>SUMPRODUCT((TblApuracao[COLABORADOR]=TblApuracao[[#This Row],[COLABORADOR]])*(TblApuracao[COMPETÊNCIA]&lt;=TblApuracao[[#This Row],[COMPETÊNCIA]])*TblApuracao[HRS EXTRAS (h:mm)])</f>
        <v>0</v>
      </c>
      <c r="N212" s="21">
        <f>SUMPRODUCT((TblApuracao[COLABORADOR]=TblApuracao[[#This Row],[COLABORADOR]])*(TblApuracao[COMPETÊNCIA]&lt;=TblApuracao[[#This Row],[COMPETÊNCIA]])*TblApuracao[FALTAS/ATRASOS (h:mm)])</f>
        <v>0</v>
      </c>
      <c r="O212" s="21">
        <f>TblApuracao[[#This Row],[SALDO ANT. (h:mm)]]+TblApuracao[[#This Row],[SALDO MÊS (h:mm)]]</f>
        <v>0</v>
      </c>
      <c r="P212" s="24"/>
      <c r="Q212" s="24"/>
      <c r="R212" s="24"/>
      <c r="S212" s="24" t="str">
        <f>TblApuracao[[#This Row],[COLABORADOR]]&amp;TblApuracao[[#This Row],[COMPETÊNCIA]]</f>
        <v/>
      </c>
      <c r="T212" s="24">
        <f>ROW(TblApuracao[[#Headers],[COMPETÊNCIA]])</f>
        <v>2</v>
      </c>
      <c r="U212" s="24" t="str">
        <f>TblApuracao[[#This Row],[COLABORADOR]]&amp;TblApuracao[[#This Row],[COMPETÊNCIA]]</f>
        <v/>
      </c>
      <c r="V212" s="24" t="str">
        <f>INDEX(TblApuracao[COMPETÊNCIA],1)</f>
        <v>2026-03</v>
      </c>
      <c r="W212" s="25">
        <f>SUMPRODUCT((TblApuracao[COLABORADOR]="Emanuelly Ribeiro de Aguiar")*(TblApuracao[COMPETÊNCIA]&lt;="2025-09")*(TblApuracao[SALDO MÊS (h:mm)]&gt;0)*TblApuracao[SALDO MÊS (h:mm)])</f>
        <v>0.6875</v>
      </c>
    </row>
    <row r="213" spans="1:23" ht="15" customHeight="1" x14ac:dyDescent="0.25">
      <c r="A213" s="18">
        <f t="shared" si="3"/>
        <v>211</v>
      </c>
      <c r="B213" s="34"/>
      <c r="C213" s="19" t="str">
        <f>IFERROR(
  INDEX(TblCadastro[SETOR],
    MATCH(TblApuracao[[#This Row],[COLABORADOR]],TblCadastro[NOME COMPLETO],0)
  ),
  "Não cadastrado"
)</f>
        <v>Não cadastrado</v>
      </c>
      <c r="D213" s="34"/>
      <c r="E21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3" s="18" t="str">
        <f>IFERROR(
  INDEX(TblCadastro[JORNADA ATUAL (h/dia)],
    MATCH(TblApuracao[[#This Row],[COLABORADOR]],TblCadastro[NOME COMPLETO],0)
  ),
  ""
)</f>
        <v/>
      </c>
      <c r="G213" s="18" t="str">
        <f>IFERROR(
  INDEX(TblCadastro[TRABALHA SÁB?],
    MATCH(TblApuracao[[#This Row],[COLABORADOR]],TblCadastro[NOME COMPLETO],0)
  ),
  ""
)</f>
        <v/>
      </c>
      <c r="H21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3" s="34"/>
      <c r="J213" s="34"/>
      <c r="K213" s="34"/>
      <c r="L213" s="21">
        <f>TblApuracao[[#This Row],[HRS EXTRAS (h:mm)]]-TblApuracao[[#This Row],[FALTAS/ATRASOS (h:mm)]]+TblApuracao[[#This Row],[AJUSTE MANUAL (h:mm)]]</f>
        <v>0</v>
      </c>
      <c r="M213" s="21">
        <f>SUMPRODUCT((TblApuracao[COLABORADOR]=TblApuracao[[#This Row],[COLABORADOR]])*(TblApuracao[COMPETÊNCIA]&lt;=TblApuracao[[#This Row],[COMPETÊNCIA]])*TblApuracao[HRS EXTRAS (h:mm)])</f>
        <v>0</v>
      </c>
      <c r="N213" s="21">
        <f>SUMPRODUCT((TblApuracao[COLABORADOR]=TblApuracao[[#This Row],[COLABORADOR]])*(TblApuracao[COMPETÊNCIA]&lt;=TblApuracao[[#This Row],[COMPETÊNCIA]])*TblApuracao[FALTAS/ATRASOS (h:mm)])</f>
        <v>0</v>
      </c>
      <c r="O213" s="21">
        <f>TblApuracao[[#This Row],[SALDO ANT. (h:mm)]]+TblApuracao[[#This Row],[SALDO MÊS (h:mm)]]</f>
        <v>0</v>
      </c>
      <c r="P213" s="24"/>
      <c r="Q213" s="24"/>
      <c r="R213" s="24"/>
      <c r="S213" s="24" t="str">
        <f>TblApuracao[[#This Row],[COLABORADOR]]&amp;TblApuracao[[#This Row],[COMPETÊNCIA]]</f>
        <v/>
      </c>
      <c r="T213" s="24">
        <f>ROW(TblApuracao[[#Headers],[COMPETÊNCIA]])</f>
        <v>2</v>
      </c>
      <c r="U213" s="24" t="str">
        <f>TblApuracao[[#This Row],[COLABORADOR]]&amp;TblApuracao[[#This Row],[COMPETÊNCIA]]</f>
        <v/>
      </c>
      <c r="V213" s="24" t="str">
        <f>INDEX(TblApuracao[COMPETÊNCIA],1)</f>
        <v>2026-03</v>
      </c>
      <c r="W213" s="25">
        <f>SUMPRODUCT((TblApuracao[COLABORADOR]="Emanuelly Ribeiro de Aguiar")*(TblApuracao[COMPETÊNCIA]&lt;="2025-09")*(TblApuracao[SALDO MÊS (h:mm)]&gt;0)*TblApuracao[SALDO MÊS (h:mm)])</f>
        <v>0.6875</v>
      </c>
    </row>
    <row r="214" spans="1:23" ht="15" customHeight="1" x14ac:dyDescent="0.25">
      <c r="A214" s="18">
        <f t="shared" si="3"/>
        <v>212</v>
      </c>
      <c r="B214" s="34"/>
      <c r="C214" s="19" t="str">
        <f>IFERROR(
  INDEX(TblCadastro[SETOR],
    MATCH(TblApuracao[[#This Row],[COLABORADOR]],TblCadastro[NOME COMPLETO],0)
  ),
  "Não cadastrado"
)</f>
        <v>Não cadastrado</v>
      </c>
      <c r="D214" s="34"/>
      <c r="E21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4" s="18" t="str">
        <f>IFERROR(
  INDEX(TblCadastro[JORNADA ATUAL (h/dia)],
    MATCH(TblApuracao[[#This Row],[COLABORADOR]],TblCadastro[NOME COMPLETO],0)
  ),
  ""
)</f>
        <v/>
      </c>
      <c r="G214" s="18" t="str">
        <f>IFERROR(
  INDEX(TblCadastro[TRABALHA SÁB?],
    MATCH(TblApuracao[[#This Row],[COLABORADOR]],TblCadastro[NOME COMPLETO],0)
  ),
  ""
)</f>
        <v/>
      </c>
      <c r="H21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4" s="34"/>
      <c r="J214" s="34"/>
      <c r="K214" s="34"/>
      <c r="L214" s="21">
        <f>TblApuracao[[#This Row],[HRS EXTRAS (h:mm)]]-TblApuracao[[#This Row],[FALTAS/ATRASOS (h:mm)]]+TblApuracao[[#This Row],[AJUSTE MANUAL (h:mm)]]</f>
        <v>0</v>
      </c>
      <c r="M214" s="21">
        <f>SUMPRODUCT((TblApuracao[COLABORADOR]=TblApuracao[[#This Row],[COLABORADOR]])*(TblApuracao[COMPETÊNCIA]&lt;=TblApuracao[[#This Row],[COMPETÊNCIA]])*TblApuracao[HRS EXTRAS (h:mm)])</f>
        <v>0</v>
      </c>
      <c r="N214" s="21">
        <f>SUMPRODUCT((TblApuracao[COLABORADOR]=TblApuracao[[#This Row],[COLABORADOR]])*(TblApuracao[COMPETÊNCIA]&lt;=TblApuracao[[#This Row],[COMPETÊNCIA]])*TblApuracao[FALTAS/ATRASOS (h:mm)])</f>
        <v>0</v>
      </c>
      <c r="O214" s="21">
        <f>TblApuracao[[#This Row],[SALDO ANT. (h:mm)]]+TblApuracao[[#This Row],[SALDO MÊS (h:mm)]]</f>
        <v>0</v>
      </c>
      <c r="P214" s="24"/>
      <c r="Q214" s="24"/>
      <c r="R214" s="24"/>
      <c r="S214" s="24" t="str">
        <f>TblApuracao[[#This Row],[COLABORADOR]]&amp;TblApuracao[[#This Row],[COMPETÊNCIA]]</f>
        <v/>
      </c>
      <c r="T214" s="24">
        <f>ROW(TblApuracao[[#Headers],[COMPETÊNCIA]])</f>
        <v>2</v>
      </c>
      <c r="U214" s="24" t="str">
        <f>TblApuracao[[#This Row],[COLABORADOR]]&amp;TblApuracao[[#This Row],[COMPETÊNCIA]]</f>
        <v/>
      </c>
      <c r="V214" s="24" t="str">
        <f>INDEX(TblApuracao[COMPETÊNCIA],1)</f>
        <v>2026-03</v>
      </c>
      <c r="W214" s="25">
        <f>SUMPRODUCT((TblApuracao[COLABORADOR]="Emanuelly Ribeiro de Aguiar")*(TblApuracao[COMPETÊNCIA]&lt;="2025-09")*(TblApuracao[SALDO MÊS (h:mm)]&gt;0)*TblApuracao[SALDO MÊS (h:mm)])</f>
        <v>0.6875</v>
      </c>
    </row>
    <row r="215" spans="1:23" ht="15" customHeight="1" x14ac:dyDescent="0.25">
      <c r="A215" s="18">
        <f t="shared" si="3"/>
        <v>213</v>
      </c>
      <c r="B215" s="34"/>
      <c r="C215" s="19" t="str">
        <f>IFERROR(
  INDEX(TblCadastro[SETOR],
    MATCH(TblApuracao[[#This Row],[COLABORADOR]],TblCadastro[NOME COMPLETO],0)
  ),
  "Não cadastrado"
)</f>
        <v>Não cadastrado</v>
      </c>
      <c r="D215" s="34"/>
      <c r="E21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5" s="18" t="str">
        <f>IFERROR(
  INDEX(TblCadastro[JORNADA ATUAL (h/dia)],
    MATCH(TblApuracao[[#This Row],[COLABORADOR]],TblCadastro[NOME COMPLETO],0)
  ),
  ""
)</f>
        <v/>
      </c>
      <c r="G215" s="18" t="str">
        <f>IFERROR(
  INDEX(TblCadastro[TRABALHA SÁB?],
    MATCH(TblApuracao[[#This Row],[COLABORADOR]],TblCadastro[NOME COMPLETO],0)
  ),
  ""
)</f>
        <v/>
      </c>
      <c r="H21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5" s="34"/>
      <c r="J215" s="34"/>
      <c r="K215" s="34"/>
      <c r="L215" s="21">
        <f>TblApuracao[[#This Row],[HRS EXTRAS (h:mm)]]-TblApuracao[[#This Row],[FALTAS/ATRASOS (h:mm)]]+TblApuracao[[#This Row],[AJUSTE MANUAL (h:mm)]]</f>
        <v>0</v>
      </c>
      <c r="M215" s="21">
        <f>SUMPRODUCT((TblApuracao[COLABORADOR]=TblApuracao[[#This Row],[COLABORADOR]])*(TblApuracao[COMPETÊNCIA]&lt;=TblApuracao[[#This Row],[COMPETÊNCIA]])*TblApuracao[HRS EXTRAS (h:mm)])</f>
        <v>0</v>
      </c>
      <c r="N215" s="21">
        <f>SUMPRODUCT((TblApuracao[COLABORADOR]=TblApuracao[[#This Row],[COLABORADOR]])*(TblApuracao[COMPETÊNCIA]&lt;=TblApuracao[[#This Row],[COMPETÊNCIA]])*TblApuracao[FALTAS/ATRASOS (h:mm)])</f>
        <v>0</v>
      </c>
      <c r="O215" s="21">
        <f>TblApuracao[[#This Row],[SALDO ANT. (h:mm)]]+TblApuracao[[#This Row],[SALDO MÊS (h:mm)]]</f>
        <v>0</v>
      </c>
      <c r="P215" s="24"/>
      <c r="Q215" s="24"/>
      <c r="R215" s="24"/>
      <c r="S215" s="24" t="str">
        <f>TblApuracao[[#This Row],[COLABORADOR]]&amp;TblApuracao[[#This Row],[COMPETÊNCIA]]</f>
        <v/>
      </c>
      <c r="T215" s="24">
        <f>ROW(TblApuracao[[#Headers],[COMPETÊNCIA]])</f>
        <v>2</v>
      </c>
      <c r="U215" s="24" t="str">
        <f>TblApuracao[[#This Row],[COLABORADOR]]&amp;TblApuracao[[#This Row],[COMPETÊNCIA]]</f>
        <v/>
      </c>
      <c r="V215" s="24" t="str">
        <f>INDEX(TblApuracao[COMPETÊNCIA],1)</f>
        <v>2026-03</v>
      </c>
      <c r="W215" s="25">
        <f>SUMPRODUCT((TblApuracao[COLABORADOR]="Emanuelly Ribeiro de Aguiar")*(TblApuracao[COMPETÊNCIA]&lt;="2025-09")*(TblApuracao[SALDO MÊS (h:mm)]&gt;0)*TblApuracao[SALDO MÊS (h:mm)])</f>
        <v>0.6875</v>
      </c>
    </row>
    <row r="216" spans="1:23" ht="15" customHeight="1" x14ac:dyDescent="0.25">
      <c r="A216" s="18">
        <f t="shared" si="3"/>
        <v>214</v>
      </c>
      <c r="B216" s="34"/>
      <c r="C216" s="19" t="str">
        <f>IFERROR(
  INDEX(TblCadastro[SETOR],
    MATCH(TblApuracao[[#This Row],[COLABORADOR]],TblCadastro[NOME COMPLETO],0)
  ),
  "Não cadastrado"
)</f>
        <v>Não cadastrado</v>
      </c>
      <c r="D216" s="34"/>
      <c r="E21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6" s="18" t="str">
        <f>IFERROR(
  INDEX(TblCadastro[JORNADA ATUAL (h/dia)],
    MATCH(TblApuracao[[#This Row],[COLABORADOR]],TblCadastro[NOME COMPLETO],0)
  ),
  ""
)</f>
        <v/>
      </c>
      <c r="G216" s="18" t="str">
        <f>IFERROR(
  INDEX(TblCadastro[TRABALHA SÁB?],
    MATCH(TblApuracao[[#This Row],[COLABORADOR]],TblCadastro[NOME COMPLETO],0)
  ),
  ""
)</f>
        <v/>
      </c>
      <c r="H21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6" s="34"/>
      <c r="J216" s="34"/>
      <c r="K216" s="34"/>
      <c r="L216" s="21">
        <f>TblApuracao[[#This Row],[HRS EXTRAS (h:mm)]]-TblApuracao[[#This Row],[FALTAS/ATRASOS (h:mm)]]+TblApuracao[[#This Row],[AJUSTE MANUAL (h:mm)]]</f>
        <v>0</v>
      </c>
      <c r="M216" s="21">
        <f>SUMPRODUCT((TblApuracao[COLABORADOR]=TblApuracao[[#This Row],[COLABORADOR]])*(TblApuracao[COMPETÊNCIA]&lt;=TblApuracao[[#This Row],[COMPETÊNCIA]])*TblApuracao[HRS EXTRAS (h:mm)])</f>
        <v>0</v>
      </c>
      <c r="N216" s="21">
        <f>SUMPRODUCT((TblApuracao[COLABORADOR]=TblApuracao[[#This Row],[COLABORADOR]])*(TblApuracao[COMPETÊNCIA]&lt;=TblApuracao[[#This Row],[COMPETÊNCIA]])*TblApuracao[FALTAS/ATRASOS (h:mm)])</f>
        <v>0</v>
      </c>
      <c r="O216" s="21">
        <f>TblApuracao[[#This Row],[SALDO ANT. (h:mm)]]+TblApuracao[[#This Row],[SALDO MÊS (h:mm)]]</f>
        <v>0</v>
      </c>
      <c r="P216" s="24"/>
      <c r="Q216" s="24"/>
      <c r="R216" s="24"/>
      <c r="S216" s="24" t="str">
        <f>TblApuracao[[#This Row],[COLABORADOR]]&amp;TblApuracao[[#This Row],[COMPETÊNCIA]]</f>
        <v/>
      </c>
      <c r="T216" s="24">
        <f>ROW(TblApuracao[[#Headers],[COMPETÊNCIA]])</f>
        <v>2</v>
      </c>
      <c r="U216" s="24" t="str">
        <f>TblApuracao[[#This Row],[COLABORADOR]]&amp;TblApuracao[[#This Row],[COMPETÊNCIA]]</f>
        <v/>
      </c>
      <c r="V216" s="24" t="str">
        <f>INDEX(TblApuracao[COMPETÊNCIA],1)</f>
        <v>2026-03</v>
      </c>
      <c r="W216" s="25">
        <f>SUMPRODUCT((TblApuracao[COLABORADOR]="Emanuelly Ribeiro de Aguiar")*(TblApuracao[COMPETÊNCIA]&lt;="2025-09")*(TblApuracao[SALDO MÊS (h:mm)]&gt;0)*TblApuracao[SALDO MÊS (h:mm)])</f>
        <v>0.6875</v>
      </c>
    </row>
    <row r="217" spans="1:23" ht="15" customHeight="1" x14ac:dyDescent="0.25">
      <c r="A217" s="18">
        <f t="shared" si="3"/>
        <v>215</v>
      </c>
      <c r="B217" s="34"/>
      <c r="C217" s="19" t="str">
        <f>IFERROR(
  INDEX(TblCadastro[SETOR],
    MATCH(TblApuracao[[#This Row],[COLABORADOR]],TblCadastro[NOME COMPLETO],0)
  ),
  "Não cadastrado"
)</f>
        <v>Não cadastrado</v>
      </c>
      <c r="D217" s="34"/>
      <c r="E21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7" s="18" t="str">
        <f>IFERROR(
  INDEX(TblCadastro[JORNADA ATUAL (h/dia)],
    MATCH(TblApuracao[[#This Row],[COLABORADOR]],TblCadastro[NOME COMPLETO],0)
  ),
  ""
)</f>
        <v/>
      </c>
      <c r="G217" s="18" t="str">
        <f>IFERROR(
  INDEX(TblCadastro[TRABALHA SÁB?],
    MATCH(TblApuracao[[#This Row],[COLABORADOR]],TblCadastro[NOME COMPLETO],0)
  ),
  ""
)</f>
        <v/>
      </c>
      <c r="H21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7" s="34"/>
      <c r="J217" s="34"/>
      <c r="K217" s="34"/>
      <c r="L217" s="21">
        <f>TblApuracao[[#This Row],[HRS EXTRAS (h:mm)]]-TblApuracao[[#This Row],[FALTAS/ATRASOS (h:mm)]]+TblApuracao[[#This Row],[AJUSTE MANUAL (h:mm)]]</f>
        <v>0</v>
      </c>
      <c r="M217" s="21">
        <f>SUMPRODUCT((TblApuracao[COLABORADOR]=TblApuracao[[#This Row],[COLABORADOR]])*(TblApuracao[COMPETÊNCIA]&lt;=TblApuracao[[#This Row],[COMPETÊNCIA]])*TblApuracao[HRS EXTRAS (h:mm)])</f>
        <v>0</v>
      </c>
      <c r="N217" s="21">
        <f>SUMPRODUCT((TblApuracao[COLABORADOR]=TblApuracao[[#This Row],[COLABORADOR]])*(TblApuracao[COMPETÊNCIA]&lt;=TblApuracao[[#This Row],[COMPETÊNCIA]])*TblApuracao[FALTAS/ATRASOS (h:mm)])</f>
        <v>0</v>
      </c>
      <c r="O217" s="21">
        <f>TblApuracao[[#This Row],[SALDO ANT. (h:mm)]]+TblApuracao[[#This Row],[SALDO MÊS (h:mm)]]</f>
        <v>0</v>
      </c>
      <c r="P217" s="24"/>
      <c r="Q217" s="24"/>
      <c r="R217" s="24"/>
      <c r="S217" s="24" t="str">
        <f>TblApuracao[[#This Row],[COLABORADOR]]&amp;TblApuracao[[#This Row],[COMPETÊNCIA]]</f>
        <v/>
      </c>
      <c r="T217" s="24">
        <f>ROW(TblApuracao[[#Headers],[COMPETÊNCIA]])</f>
        <v>2</v>
      </c>
      <c r="U217" s="24" t="str">
        <f>TblApuracao[[#This Row],[COLABORADOR]]&amp;TblApuracao[[#This Row],[COMPETÊNCIA]]</f>
        <v/>
      </c>
      <c r="V217" s="24" t="str">
        <f>INDEX(TblApuracao[COMPETÊNCIA],1)</f>
        <v>2026-03</v>
      </c>
      <c r="W217" s="25">
        <f>SUMPRODUCT((TblApuracao[COLABORADOR]="Emanuelly Ribeiro de Aguiar")*(TblApuracao[COMPETÊNCIA]&lt;="2025-09")*(TblApuracao[SALDO MÊS (h:mm)]&gt;0)*TblApuracao[SALDO MÊS (h:mm)])</f>
        <v>0.6875</v>
      </c>
    </row>
    <row r="218" spans="1:23" ht="15" customHeight="1" x14ac:dyDescent="0.25">
      <c r="A218" s="18">
        <f t="shared" si="3"/>
        <v>216</v>
      </c>
      <c r="B218" s="34"/>
      <c r="C218" s="19" t="str">
        <f>IFERROR(
  INDEX(TblCadastro[SETOR],
    MATCH(TblApuracao[[#This Row],[COLABORADOR]],TblCadastro[NOME COMPLETO],0)
  ),
  "Não cadastrado"
)</f>
        <v>Não cadastrado</v>
      </c>
      <c r="D218" s="34"/>
      <c r="E21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8" s="18" t="str">
        <f>IFERROR(
  INDEX(TblCadastro[JORNADA ATUAL (h/dia)],
    MATCH(TblApuracao[[#This Row],[COLABORADOR]],TblCadastro[NOME COMPLETO],0)
  ),
  ""
)</f>
        <v/>
      </c>
      <c r="G218" s="18" t="str">
        <f>IFERROR(
  INDEX(TblCadastro[TRABALHA SÁB?],
    MATCH(TblApuracao[[#This Row],[COLABORADOR]],TblCadastro[NOME COMPLETO],0)
  ),
  ""
)</f>
        <v/>
      </c>
      <c r="H21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8" s="34"/>
      <c r="J218" s="34"/>
      <c r="K218" s="34"/>
      <c r="L218" s="21">
        <f>TblApuracao[[#This Row],[HRS EXTRAS (h:mm)]]-TblApuracao[[#This Row],[FALTAS/ATRASOS (h:mm)]]+TblApuracao[[#This Row],[AJUSTE MANUAL (h:mm)]]</f>
        <v>0</v>
      </c>
      <c r="M218" s="21">
        <f>SUMPRODUCT((TblApuracao[COLABORADOR]=TblApuracao[[#This Row],[COLABORADOR]])*(TblApuracao[COMPETÊNCIA]&lt;=TblApuracao[[#This Row],[COMPETÊNCIA]])*TblApuracao[HRS EXTRAS (h:mm)])</f>
        <v>0</v>
      </c>
      <c r="N218" s="21">
        <f>SUMPRODUCT((TblApuracao[COLABORADOR]=TblApuracao[[#This Row],[COLABORADOR]])*(TblApuracao[COMPETÊNCIA]&lt;=TblApuracao[[#This Row],[COMPETÊNCIA]])*TblApuracao[FALTAS/ATRASOS (h:mm)])</f>
        <v>0</v>
      </c>
      <c r="O218" s="21">
        <f>TblApuracao[[#This Row],[SALDO ANT. (h:mm)]]+TblApuracao[[#This Row],[SALDO MÊS (h:mm)]]</f>
        <v>0</v>
      </c>
      <c r="P218" s="24"/>
      <c r="Q218" s="24"/>
      <c r="R218" s="24"/>
      <c r="S218" s="24" t="str">
        <f>TblApuracao[[#This Row],[COLABORADOR]]&amp;TblApuracao[[#This Row],[COMPETÊNCIA]]</f>
        <v/>
      </c>
      <c r="T218" s="24">
        <f>ROW(TblApuracao[[#Headers],[COMPETÊNCIA]])</f>
        <v>2</v>
      </c>
      <c r="U218" s="24" t="str">
        <f>TblApuracao[[#This Row],[COLABORADOR]]&amp;TblApuracao[[#This Row],[COMPETÊNCIA]]</f>
        <v/>
      </c>
      <c r="V218" s="24" t="str">
        <f>INDEX(TblApuracao[COMPETÊNCIA],1)</f>
        <v>2026-03</v>
      </c>
      <c r="W218" s="25">
        <f>SUMPRODUCT((TblApuracao[COLABORADOR]="Emanuelly Ribeiro de Aguiar")*(TblApuracao[COMPETÊNCIA]&lt;="2025-09")*(TblApuracao[SALDO MÊS (h:mm)]&gt;0)*TblApuracao[SALDO MÊS (h:mm)])</f>
        <v>0.6875</v>
      </c>
    </row>
    <row r="219" spans="1:23" ht="15" customHeight="1" x14ac:dyDescent="0.25">
      <c r="A219" s="18">
        <f t="shared" si="3"/>
        <v>217</v>
      </c>
      <c r="B219" s="34"/>
      <c r="C219" s="19" t="str">
        <f>IFERROR(
  INDEX(TblCadastro[SETOR],
    MATCH(TblApuracao[[#This Row],[COLABORADOR]],TblCadastro[NOME COMPLETO],0)
  ),
  "Não cadastrado"
)</f>
        <v>Não cadastrado</v>
      </c>
      <c r="D219" s="34"/>
      <c r="E21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9" s="18" t="str">
        <f>IFERROR(
  INDEX(TblCadastro[JORNADA ATUAL (h/dia)],
    MATCH(TblApuracao[[#This Row],[COLABORADOR]],TblCadastro[NOME COMPLETO],0)
  ),
  ""
)</f>
        <v/>
      </c>
      <c r="G219" s="18" t="str">
        <f>IFERROR(
  INDEX(TblCadastro[TRABALHA SÁB?],
    MATCH(TblApuracao[[#This Row],[COLABORADOR]],TblCadastro[NOME COMPLETO],0)
  ),
  ""
)</f>
        <v/>
      </c>
      <c r="H21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9" s="34"/>
      <c r="J219" s="34"/>
      <c r="K219" s="34"/>
      <c r="L219" s="21">
        <f>TblApuracao[[#This Row],[HRS EXTRAS (h:mm)]]-TblApuracao[[#This Row],[FALTAS/ATRASOS (h:mm)]]+TblApuracao[[#This Row],[AJUSTE MANUAL (h:mm)]]</f>
        <v>0</v>
      </c>
      <c r="M219" s="21">
        <f>SUMPRODUCT((TblApuracao[COLABORADOR]=TblApuracao[[#This Row],[COLABORADOR]])*(TblApuracao[COMPETÊNCIA]&lt;=TblApuracao[[#This Row],[COMPETÊNCIA]])*TblApuracao[HRS EXTRAS (h:mm)])</f>
        <v>0</v>
      </c>
      <c r="N219" s="21">
        <f>SUMPRODUCT((TblApuracao[COLABORADOR]=TblApuracao[[#This Row],[COLABORADOR]])*(TblApuracao[COMPETÊNCIA]&lt;=TblApuracao[[#This Row],[COMPETÊNCIA]])*TblApuracao[FALTAS/ATRASOS (h:mm)])</f>
        <v>0</v>
      </c>
      <c r="O219" s="21">
        <f>TblApuracao[[#This Row],[SALDO ANT. (h:mm)]]+TblApuracao[[#This Row],[SALDO MÊS (h:mm)]]</f>
        <v>0</v>
      </c>
      <c r="P219" s="24"/>
      <c r="Q219" s="24"/>
      <c r="R219" s="24"/>
      <c r="S219" s="24" t="str">
        <f>TblApuracao[[#This Row],[COLABORADOR]]&amp;TblApuracao[[#This Row],[COMPETÊNCIA]]</f>
        <v/>
      </c>
      <c r="T219" s="24">
        <f>ROW(TblApuracao[[#Headers],[COMPETÊNCIA]])</f>
        <v>2</v>
      </c>
      <c r="U219" s="24" t="str">
        <f>TblApuracao[[#This Row],[COLABORADOR]]&amp;TblApuracao[[#This Row],[COMPETÊNCIA]]</f>
        <v/>
      </c>
      <c r="V219" s="24" t="str">
        <f>INDEX(TblApuracao[COMPETÊNCIA],1)</f>
        <v>2026-03</v>
      </c>
      <c r="W219" s="25">
        <f>SUMPRODUCT((TblApuracao[COLABORADOR]="Emanuelly Ribeiro de Aguiar")*(TblApuracao[COMPETÊNCIA]&lt;="2025-09")*(TblApuracao[SALDO MÊS (h:mm)]&gt;0)*TblApuracao[SALDO MÊS (h:mm)])</f>
        <v>0.6875</v>
      </c>
    </row>
    <row r="220" spans="1:23" ht="15" customHeight="1" x14ac:dyDescent="0.25">
      <c r="A220" s="18">
        <f t="shared" si="3"/>
        <v>218</v>
      </c>
      <c r="B220" s="34"/>
      <c r="C220" s="19" t="str">
        <f>IFERROR(
  INDEX(TblCadastro[SETOR],
    MATCH(TblApuracao[[#This Row],[COLABORADOR]],TblCadastro[NOME COMPLETO],0)
  ),
  "Não cadastrado"
)</f>
        <v>Não cadastrado</v>
      </c>
      <c r="D220" s="34"/>
      <c r="E22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0" s="18" t="str">
        <f>IFERROR(
  INDEX(TblCadastro[JORNADA ATUAL (h/dia)],
    MATCH(TblApuracao[[#This Row],[COLABORADOR]],TblCadastro[NOME COMPLETO],0)
  ),
  ""
)</f>
        <v/>
      </c>
      <c r="G220" s="18" t="str">
        <f>IFERROR(
  INDEX(TblCadastro[TRABALHA SÁB?],
    MATCH(TblApuracao[[#This Row],[COLABORADOR]],TblCadastro[NOME COMPLETO],0)
  ),
  ""
)</f>
        <v/>
      </c>
      <c r="H22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0" s="34"/>
      <c r="J220" s="34"/>
      <c r="K220" s="34"/>
      <c r="L220" s="21">
        <f>TblApuracao[[#This Row],[HRS EXTRAS (h:mm)]]-TblApuracao[[#This Row],[FALTAS/ATRASOS (h:mm)]]+TblApuracao[[#This Row],[AJUSTE MANUAL (h:mm)]]</f>
        <v>0</v>
      </c>
      <c r="M220" s="21">
        <f>SUMPRODUCT((TblApuracao[COLABORADOR]=TblApuracao[[#This Row],[COLABORADOR]])*(TblApuracao[COMPETÊNCIA]&lt;=TblApuracao[[#This Row],[COMPETÊNCIA]])*TblApuracao[HRS EXTRAS (h:mm)])</f>
        <v>0</v>
      </c>
      <c r="N220" s="21">
        <f>SUMPRODUCT((TblApuracao[COLABORADOR]=TblApuracao[[#This Row],[COLABORADOR]])*(TblApuracao[COMPETÊNCIA]&lt;=TblApuracao[[#This Row],[COMPETÊNCIA]])*TblApuracao[FALTAS/ATRASOS (h:mm)])</f>
        <v>0</v>
      </c>
      <c r="O220" s="21">
        <f>TblApuracao[[#This Row],[SALDO ANT. (h:mm)]]+TblApuracao[[#This Row],[SALDO MÊS (h:mm)]]</f>
        <v>0</v>
      </c>
      <c r="P220" s="24"/>
      <c r="Q220" s="24"/>
      <c r="R220" s="24"/>
      <c r="S220" s="24" t="str">
        <f>TblApuracao[[#This Row],[COLABORADOR]]&amp;TblApuracao[[#This Row],[COMPETÊNCIA]]</f>
        <v/>
      </c>
      <c r="T220" s="24">
        <f>ROW(TblApuracao[[#Headers],[COMPETÊNCIA]])</f>
        <v>2</v>
      </c>
      <c r="U220" s="24" t="str">
        <f>TblApuracao[[#This Row],[COLABORADOR]]&amp;TblApuracao[[#This Row],[COMPETÊNCIA]]</f>
        <v/>
      </c>
      <c r="V220" s="24" t="str">
        <f>INDEX(TblApuracao[COMPETÊNCIA],1)</f>
        <v>2026-03</v>
      </c>
      <c r="W220" s="25">
        <f>SUMPRODUCT((TblApuracao[COLABORADOR]="Emanuelly Ribeiro de Aguiar")*(TblApuracao[COMPETÊNCIA]&lt;="2025-09")*(TblApuracao[SALDO MÊS (h:mm)]&gt;0)*TblApuracao[SALDO MÊS (h:mm)])</f>
        <v>0.6875</v>
      </c>
    </row>
    <row r="221" spans="1:23" ht="15" customHeight="1" x14ac:dyDescent="0.25">
      <c r="A221" s="18">
        <f t="shared" si="3"/>
        <v>219</v>
      </c>
      <c r="B221" s="34"/>
      <c r="C221" s="19" t="str">
        <f>IFERROR(
  INDEX(TblCadastro[SETOR],
    MATCH(TblApuracao[[#This Row],[COLABORADOR]],TblCadastro[NOME COMPLETO],0)
  ),
  "Não cadastrado"
)</f>
        <v>Não cadastrado</v>
      </c>
      <c r="D221" s="34"/>
      <c r="E22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1" s="18" t="str">
        <f>IFERROR(
  INDEX(TblCadastro[JORNADA ATUAL (h/dia)],
    MATCH(TblApuracao[[#This Row],[COLABORADOR]],TblCadastro[NOME COMPLETO],0)
  ),
  ""
)</f>
        <v/>
      </c>
      <c r="G221" s="18" t="str">
        <f>IFERROR(
  INDEX(TblCadastro[TRABALHA SÁB?],
    MATCH(TblApuracao[[#This Row],[COLABORADOR]],TblCadastro[NOME COMPLETO],0)
  ),
  ""
)</f>
        <v/>
      </c>
      <c r="H22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1" s="34"/>
      <c r="J221" s="34"/>
      <c r="K221" s="34"/>
      <c r="L221" s="21">
        <f>TblApuracao[[#This Row],[HRS EXTRAS (h:mm)]]-TblApuracao[[#This Row],[FALTAS/ATRASOS (h:mm)]]+TblApuracao[[#This Row],[AJUSTE MANUAL (h:mm)]]</f>
        <v>0</v>
      </c>
      <c r="M221" s="21">
        <f>SUMPRODUCT((TblApuracao[COLABORADOR]=TblApuracao[[#This Row],[COLABORADOR]])*(TblApuracao[COMPETÊNCIA]&lt;=TblApuracao[[#This Row],[COMPETÊNCIA]])*TblApuracao[HRS EXTRAS (h:mm)])</f>
        <v>0</v>
      </c>
      <c r="N221" s="21">
        <f>SUMPRODUCT((TblApuracao[COLABORADOR]=TblApuracao[[#This Row],[COLABORADOR]])*(TblApuracao[COMPETÊNCIA]&lt;=TblApuracao[[#This Row],[COMPETÊNCIA]])*TblApuracao[FALTAS/ATRASOS (h:mm)])</f>
        <v>0</v>
      </c>
      <c r="O221" s="21">
        <f>TblApuracao[[#This Row],[SALDO ANT. (h:mm)]]+TblApuracao[[#This Row],[SALDO MÊS (h:mm)]]</f>
        <v>0</v>
      </c>
      <c r="P221" s="24"/>
      <c r="Q221" s="24"/>
      <c r="R221" s="24"/>
      <c r="S221" s="24" t="str">
        <f>TblApuracao[[#This Row],[COLABORADOR]]&amp;TblApuracao[[#This Row],[COMPETÊNCIA]]</f>
        <v/>
      </c>
      <c r="T221" s="24">
        <f>ROW(TblApuracao[[#Headers],[COMPETÊNCIA]])</f>
        <v>2</v>
      </c>
      <c r="U221" s="24" t="str">
        <f>TblApuracao[[#This Row],[COLABORADOR]]&amp;TblApuracao[[#This Row],[COMPETÊNCIA]]</f>
        <v/>
      </c>
      <c r="V221" s="24" t="str">
        <f>INDEX(TblApuracao[COMPETÊNCIA],1)</f>
        <v>2026-03</v>
      </c>
      <c r="W221" s="25">
        <f>SUMPRODUCT((TblApuracao[COLABORADOR]="Emanuelly Ribeiro de Aguiar")*(TblApuracao[COMPETÊNCIA]&lt;="2025-09")*(TblApuracao[SALDO MÊS (h:mm)]&gt;0)*TblApuracao[SALDO MÊS (h:mm)])</f>
        <v>0.6875</v>
      </c>
    </row>
    <row r="222" spans="1:23" ht="15" customHeight="1" x14ac:dyDescent="0.25">
      <c r="A222" s="18">
        <f t="shared" si="3"/>
        <v>220</v>
      </c>
      <c r="B222" s="34"/>
      <c r="C222" s="19" t="str">
        <f>IFERROR(
  INDEX(TblCadastro[SETOR],
    MATCH(TblApuracao[[#This Row],[COLABORADOR]],TblCadastro[NOME COMPLETO],0)
  ),
  "Não cadastrado"
)</f>
        <v>Não cadastrado</v>
      </c>
      <c r="D222" s="34"/>
      <c r="E22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2" s="18" t="str">
        <f>IFERROR(
  INDEX(TblCadastro[JORNADA ATUAL (h/dia)],
    MATCH(TblApuracao[[#This Row],[COLABORADOR]],TblCadastro[NOME COMPLETO],0)
  ),
  ""
)</f>
        <v/>
      </c>
      <c r="G222" s="18" t="str">
        <f>IFERROR(
  INDEX(TblCadastro[TRABALHA SÁB?],
    MATCH(TblApuracao[[#This Row],[COLABORADOR]],TblCadastro[NOME COMPLETO],0)
  ),
  ""
)</f>
        <v/>
      </c>
      <c r="H22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2" s="34"/>
      <c r="J222" s="34"/>
      <c r="K222" s="34"/>
      <c r="L222" s="21">
        <f>TblApuracao[[#This Row],[HRS EXTRAS (h:mm)]]-TblApuracao[[#This Row],[FALTAS/ATRASOS (h:mm)]]+TblApuracao[[#This Row],[AJUSTE MANUAL (h:mm)]]</f>
        <v>0</v>
      </c>
      <c r="M222" s="21">
        <f>SUMPRODUCT((TblApuracao[COLABORADOR]=TblApuracao[[#This Row],[COLABORADOR]])*(TblApuracao[COMPETÊNCIA]&lt;=TblApuracao[[#This Row],[COMPETÊNCIA]])*TblApuracao[HRS EXTRAS (h:mm)])</f>
        <v>0</v>
      </c>
      <c r="N222" s="21">
        <f>SUMPRODUCT((TblApuracao[COLABORADOR]=TblApuracao[[#This Row],[COLABORADOR]])*(TblApuracao[COMPETÊNCIA]&lt;=TblApuracao[[#This Row],[COMPETÊNCIA]])*TblApuracao[FALTAS/ATRASOS (h:mm)])</f>
        <v>0</v>
      </c>
      <c r="O222" s="21">
        <f>TblApuracao[[#This Row],[SALDO ANT. (h:mm)]]+TblApuracao[[#This Row],[SALDO MÊS (h:mm)]]</f>
        <v>0</v>
      </c>
      <c r="P222" s="24"/>
      <c r="Q222" s="24"/>
      <c r="R222" s="24"/>
      <c r="S222" s="24" t="str">
        <f>TblApuracao[[#This Row],[COLABORADOR]]&amp;TblApuracao[[#This Row],[COMPETÊNCIA]]</f>
        <v/>
      </c>
      <c r="T222" s="24">
        <f>ROW(TblApuracao[[#Headers],[COMPETÊNCIA]])</f>
        <v>2</v>
      </c>
      <c r="U222" s="24" t="str">
        <f>TblApuracao[[#This Row],[COLABORADOR]]&amp;TblApuracao[[#This Row],[COMPETÊNCIA]]</f>
        <v/>
      </c>
      <c r="V222" s="24" t="str">
        <f>INDEX(TblApuracao[COMPETÊNCIA],1)</f>
        <v>2026-03</v>
      </c>
      <c r="W222" s="25">
        <f>SUMPRODUCT((TblApuracao[COLABORADOR]="Emanuelly Ribeiro de Aguiar")*(TblApuracao[COMPETÊNCIA]&lt;="2025-09")*(TblApuracao[SALDO MÊS (h:mm)]&gt;0)*TblApuracao[SALDO MÊS (h:mm)])</f>
        <v>0.6875</v>
      </c>
    </row>
    <row r="223" spans="1:23" ht="15" customHeight="1" x14ac:dyDescent="0.25">
      <c r="A223" s="18">
        <f t="shared" si="3"/>
        <v>221</v>
      </c>
      <c r="B223" s="34"/>
      <c r="C223" s="19" t="str">
        <f>IFERROR(
  INDEX(TblCadastro[SETOR],
    MATCH(TblApuracao[[#This Row],[COLABORADOR]],TblCadastro[NOME COMPLETO],0)
  ),
  "Não cadastrado"
)</f>
        <v>Não cadastrado</v>
      </c>
      <c r="D223" s="34"/>
      <c r="E22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3" s="18" t="str">
        <f>IFERROR(
  INDEX(TblCadastro[JORNADA ATUAL (h/dia)],
    MATCH(TblApuracao[[#This Row],[COLABORADOR]],TblCadastro[NOME COMPLETO],0)
  ),
  ""
)</f>
        <v/>
      </c>
      <c r="G223" s="18" t="str">
        <f>IFERROR(
  INDEX(TblCadastro[TRABALHA SÁB?],
    MATCH(TblApuracao[[#This Row],[COLABORADOR]],TblCadastro[NOME COMPLETO],0)
  ),
  ""
)</f>
        <v/>
      </c>
      <c r="H22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3" s="34"/>
      <c r="J223" s="34"/>
      <c r="K223" s="34"/>
      <c r="L223" s="21">
        <f>TblApuracao[[#This Row],[HRS EXTRAS (h:mm)]]-TblApuracao[[#This Row],[FALTAS/ATRASOS (h:mm)]]+TblApuracao[[#This Row],[AJUSTE MANUAL (h:mm)]]</f>
        <v>0</v>
      </c>
      <c r="M223" s="21">
        <f>SUMPRODUCT((TblApuracao[COLABORADOR]=TblApuracao[[#This Row],[COLABORADOR]])*(TblApuracao[COMPETÊNCIA]&lt;=TblApuracao[[#This Row],[COMPETÊNCIA]])*TblApuracao[HRS EXTRAS (h:mm)])</f>
        <v>0</v>
      </c>
      <c r="N223" s="21">
        <f>SUMPRODUCT((TblApuracao[COLABORADOR]=TblApuracao[[#This Row],[COLABORADOR]])*(TblApuracao[COMPETÊNCIA]&lt;=TblApuracao[[#This Row],[COMPETÊNCIA]])*TblApuracao[FALTAS/ATRASOS (h:mm)])</f>
        <v>0</v>
      </c>
      <c r="O223" s="21">
        <f>TblApuracao[[#This Row],[SALDO ANT. (h:mm)]]+TblApuracao[[#This Row],[SALDO MÊS (h:mm)]]</f>
        <v>0</v>
      </c>
      <c r="P223" s="24"/>
      <c r="Q223" s="24"/>
      <c r="R223" s="24"/>
      <c r="S223" s="24" t="str">
        <f>TblApuracao[[#This Row],[COLABORADOR]]&amp;TblApuracao[[#This Row],[COMPETÊNCIA]]</f>
        <v/>
      </c>
      <c r="T223" s="24">
        <f>ROW(TblApuracao[[#Headers],[COMPETÊNCIA]])</f>
        <v>2</v>
      </c>
      <c r="U223" s="24" t="str">
        <f>TblApuracao[[#This Row],[COLABORADOR]]&amp;TblApuracao[[#This Row],[COMPETÊNCIA]]</f>
        <v/>
      </c>
      <c r="V223" s="24" t="str">
        <f>INDEX(TblApuracao[COMPETÊNCIA],1)</f>
        <v>2026-03</v>
      </c>
      <c r="W223" s="25">
        <f>SUMPRODUCT((TblApuracao[COLABORADOR]="Emanuelly Ribeiro de Aguiar")*(TblApuracao[COMPETÊNCIA]&lt;="2025-09")*(TblApuracao[SALDO MÊS (h:mm)]&gt;0)*TblApuracao[SALDO MÊS (h:mm)])</f>
        <v>0.6875</v>
      </c>
    </row>
    <row r="224" spans="1:23" ht="15" customHeight="1" x14ac:dyDescent="0.25">
      <c r="A224" s="18">
        <f t="shared" si="3"/>
        <v>222</v>
      </c>
      <c r="B224" s="34"/>
      <c r="C224" s="19" t="str">
        <f>IFERROR(
  INDEX(TblCadastro[SETOR],
    MATCH(TblApuracao[[#This Row],[COLABORADOR]],TblCadastro[NOME COMPLETO],0)
  ),
  "Não cadastrado"
)</f>
        <v>Não cadastrado</v>
      </c>
      <c r="D224" s="34"/>
      <c r="E22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4" s="18" t="str">
        <f>IFERROR(
  INDEX(TblCadastro[JORNADA ATUAL (h/dia)],
    MATCH(TblApuracao[[#This Row],[COLABORADOR]],TblCadastro[NOME COMPLETO],0)
  ),
  ""
)</f>
        <v/>
      </c>
      <c r="G224" s="18" t="str">
        <f>IFERROR(
  INDEX(TblCadastro[TRABALHA SÁB?],
    MATCH(TblApuracao[[#This Row],[COLABORADOR]],TblCadastro[NOME COMPLETO],0)
  ),
  ""
)</f>
        <v/>
      </c>
      <c r="H22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4" s="34"/>
      <c r="J224" s="34"/>
      <c r="K224" s="34"/>
      <c r="L224" s="21">
        <f>TblApuracao[[#This Row],[HRS EXTRAS (h:mm)]]-TblApuracao[[#This Row],[FALTAS/ATRASOS (h:mm)]]+TblApuracao[[#This Row],[AJUSTE MANUAL (h:mm)]]</f>
        <v>0</v>
      </c>
      <c r="M224" s="21">
        <f>SUMPRODUCT((TblApuracao[COLABORADOR]=TblApuracao[[#This Row],[COLABORADOR]])*(TblApuracao[COMPETÊNCIA]&lt;=TblApuracao[[#This Row],[COMPETÊNCIA]])*TblApuracao[HRS EXTRAS (h:mm)])</f>
        <v>0</v>
      </c>
      <c r="N224" s="21">
        <f>SUMPRODUCT((TblApuracao[COLABORADOR]=TblApuracao[[#This Row],[COLABORADOR]])*(TblApuracao[COMPETÊNCIA]&lt;=TblApuracao[[#This Row],[COMPETÊNCIA]])*TblApuracao[FALTAS/ATRASOS (h:mm)])</f>
        <v>0</v>
      </c>
      <c r="O224" s="21">
        <f>TblApuracao[[#This Row],[SALDO ANT. (h:mm)]]+TblApuracao[[#This Row],[SALDO MÊS (h:mm)]]</f>
        <v>0</v>
      </c>
      <c r="P224" s="24"/>
      <c r="Q224" s="24"/>
      <c r="R224" s="24"/>
      <c r="S224" s="24" t="str">
        <f>TblApuracao[[#This Row],[COLABORADOR]]&amp;TblApuracao[[#This Row],[COMPETÊNCIA]]</f>
        <v/>
      </c>
      <c r="T224" s="24">
        <f>ROW(TblApuracao[[#Headers],[COMPETÊNCIA]])</f>
        <v>2</v>
      </c>
      <c r="U224" s="24" t="str">
        <f>TblApuracao[[#This Row],[COLABORADOR]]&amp;TblApuracao[[#This Row],[COMPETÊNCIA]]</f>
        <v/>
      </c>
      <c r="V224" s="24" t="str">
        <f>INDEX(TblApuracao[COMPETÊNCIA],1)</f>
        <v>2026-03</v>
      </c>
      <c r="W224" s="25">
        <f>SUMPRODUCT((TblApuracao[COLABORADOR]="Emanuelly Ribeiro de Aguiar")*(TblApuracao[COMPETÊNCIA]&lt;="2025-09")*(TblApuracao[SALDO MÊS (h:mm)]&gt;0)*TblApuracao[SALDO MÊS (h:mm)])</f>
        <v>0.6875</v>
      </c>
    </row>
    <row r="225" spans="1:23" ht="15" customHeight="1" x14ac:dyDescent="0.25">
      <c r="A225" s="18">
        <f t="shared" si="3"/>
        <v>223</v>
      </c>
      <c r="B225" s="34"/>
      <c r="C225" s="19" t="str">
        <f>IFERROR(
  INDEX(TblCadastro[SETOR],
    MATCH(TblApuracao[[#This Row],[COLABORADOR]],TblCadastro[NOME COMPLETO],0)
  ),
  "Não cadastrado"
)</f>
        <v>Não cadastrado</v>
      </c>
      <c r="D225" s="34"/>
      <c r="E22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5" s="18" t="str">
        <f>IFERROR(
  INDEX(TblCadastro[JORNADA ATUAL (h/dia)],
    MATCH(TblApuracao[[#This Row],[COLABORADOR]],TblCadastro[NOME COMPLETO],0)
  ),
  ""
)</f>
        <v/>
      </c>
      <c r="G225" s="18" t="str">
        <f>IFERROR(
  INDEX(TblCadastro[TRABALHA SÁB?],
    MATCH(TblApuracao[[#This Row],[COLABORADOR]],TblCadastro[NOME COMPLETO],0)
  ),
  ""
)</f>
        <v/>
      </c>
      <c r="H22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5" s="34"/>
      <c r="J225" s="34"/>
      <c r="K225" s="34"/>
      <c r="L225" s="21">
        <f>TblApuracao[[#This Row],[HRS EXTRAS (h:mm)]]-TblApuracao[[#This Row],[FALTAS/ATRASOS (h:mm)]]+TblApuracao[[#This Row],[AJUSTE MANUAL (h:mm)]]</f>
        <v>0</v>
      </c>
      <c r="M225" s="21">
        <f>SUMPRODUCT((TblApuracao[COLABORADOR]=TblApuracao[[#This Row],[COLABORADOR]])*(TblApuracao[COMPETÊNCIA]&lt;=TblApuracao[[#This Row],[COMPETÊNCIA]])*TblApuracao[HRS EXTRAS (h:mm)])</f>
        <v>0</v>
      </c>
      <c r="N225" s="21">
        <f>SUMPRODUCT((TblApuracao[COLABORADOR]=TblApuracao[[#This Row],[COLABORADOR]])*(TblApuracao[COMPETÊNCIA]&lt;=TblApuracao[[#This Row],[COMPETÊNCIA]])*TblApuracao[FALTAS/ATRASOS (h:mm)])</f>
        <v>0</v>
      </c>
      <c r="O225" s="21">
        <f>TblApuracao[[#This Row],[SALDO ANT. (h:mm)]]+TblApuracao[[#This Row],[SALDO MÊS (h:mm)]]</f>
        <v>0</v>
      </c>
      <c r="P225" s="24"/>
      <c r="Q225" s="24"/>
      <c r="R225" s="24"/>
      <c r="S225" s="24" t="str">
        <f>TblApuracao[[#This Row],[COLABORADOR]]&amp;TblApuracao[[#This Row],[COMPETÊNCIA]]</f>
        <v/>
      </c>
      <c r="T225" s="24">
        <f>ROW(TblApuracao[[#Headers],[COMPETÊNCIA]])</f>
        <v>2</v>
      </c>
      <c r="U225" s="24" t="str">
        <f>TblApuracao[[#This Row],[COLABORADOR]]&amp;TblApuracao[[#This Row],[COMPETÊNCIA]]</f>
        <v/>
      </c>
      <c r="V225" s="24" t="str">
        <f>INDEX(TblApuracao[COMPETÊNCIA],1)</f>
        <v>2026-03</v>
      </c>
      <c r="W225" s="25">
        <f>SUMPRODUCT((TblApuracao[COLABORADOR]="Emanuelly Ribeiro de Aguiar")*(TblApuracao[COMPETÊNCIA]&lt;="2025-09")*(TblApuracao[SALDO MÊS (h:mm)]&gt;0)*TblApuracao[SALDO MÊS (h:mm)])</f>
        <v>0.6875</v>
      </c>
    </row>
    <row r="226" spans="1:23" ht="15" customHeight="1" x14ac:dyDescent="0.25">
      <c r="A226" s="18">
        <f t="shared" si="3"/>
        <v>224</v>
      </c>
      <c r="B226" s="34"/>
      <c r="C226" s="19" t="str">
        <f>IFERROR(
  INDEX(TblCadastro[SETOR],
    MATCH(TblApuracao[[#This Row],[COLABORADOR]],TblCadastro[NOME COMPLETO],0)
  ),
  "Não cadastrado"
)</f>
        <v>Não cadastrado</v>
      </c>
      <c r="D226" s="34"/>
      <c r="E22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6" s="18" t="str">
        <f>IFERROR(
  INDEX(TblCadastro[JORNADA ATUAL (h/dia)],
    MATCH(TblApuracao[[#This Row],[COLABORADOR]],TblCadastro[NOME COMPLETO],0)
  ),
  ""
)</f>
        <v/>
      </c>
      <c r="G226" s="18" t="str">
        <f>IFERROR(
  INDEX(TblCadastro[TRABALHA SÁB?],
    MATCH(TblApuracao[[#This Row],[COLABORADOR]],TblCadastro[NOME COMPLETO],0)
  ),
  ""
)</f>
        <v/>
      </c>
      <c r="H22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6" s="34"/>
      <c r="J226" s="34"/>
      <c r="K226" s="34"/>
      <c r="L226" s="21">
        <f>TblApuracao[[#This Row],[HRS EXTRAS (h:mm)]]-TblApuracao[[#This Row],[FALTAS/ATRASOS (h:mm)]]+TblApuracao[[#This Row],[AJUSTE MANUAL (h:mm)]]</f>
        <v>0</v>
      </c>
      <c r="M226" s="21">
        <f>SUMPRODUCT((TblApuracao[COLABORADOR]=TblApuracao[[#This Row],[COLABORADOR]])*(TblApuracao[COMPETÊNCIA]&lt;=TblApuracao[[#This Row],[COMPETÊNCIA]])*TblApuracao[HRS EXTRAS (h:mm)])</f>
        <v>0</v>
      </c>
      <c r="N226" s="21">
        <f>SUMPRODUCT((TblApuracao[COLABORADOR]=TblApuracao[[#This Row],[COLABORADOR]])*(TblApuracao[COMPETÊNCIA]&lt;=TblApuracao[[#This Row],[COMPETÊNCIA]])*TblApuracao[FALTAS/ATRASOS (h:mm)])</f>
        <v>0</v>
      </c>
      <c r="O226" s="21">
        <f>TblApuracao[[#This Row],[SALDO ANT. (h:mm)]]+TblApuracao[[#This Row],[SALDO MÊS (h:mm)]]</f>
        <v>0</v>
      </c>
      <c r="P226" s="24"/>
      <c r="Q226" s="24"/>
      <c r="R226" s="24"/>
      <c r="S226" s="24" t="str">
        <f>TblApuracao[[#This Row],[COLABORADOR]]&amp;TblApuracao[[#This Row],[COMPETÊNCIA]]</f>
        <v/>
      </c>
      <c r="T226" s="24">
        <f>ROW(TblApuracao[[#Headers],[COMPETÊNCIA]])</f>
        <v>2</v>
      </c>
      <c r="U226" s="24" t="str">
        <f>TblApuracao[[#This Row],[COLABORADOR]]&amp;TblApuracao[[#This Row],[COMPETÊNCIA]]</f>
        <v/>
      </c>
      <c r="V226" s="24" t="str">
        <f>INDEX(TblApuracao[COMPETÊNCIA],1)</f>
        <v>2026-03</v>
      </c>
      <c r="W226" s="25">
        <f>SUMPRODUCT((TblApuracao[COLABORADOR]="Emanuelly Ribeiro de Aguiar")*(TblApuracao[COMPETÊNCIA]&lt;="2025-09")*(TblApuracao[SALDO MÊS (h:mm)]&gt;0)*TblApuracao[SALDO MÊS (h:mm)])</f>
        <v>0.6875</v>
      </c>
    </row>
    <row r="227" spans="1:23" ht="15" customHeight="1" x14ac:dyDescent="0.25">
      <c r="A227" s="18">
        <f t="shared" si="3"/>
        <v>225</v>
      </c>
      <c r="B227" s="34"/>
      <c r="C227" s="19" t="str">
        <f>IFERROR(
  INDEX(TblCadastro[SETOR],
    MATCH(TblApuracao[[#This Row],[COLABORADOR]],TblCadastro[NOME COMPLETO],0)
  ),
  "Não cadastrado"
)</f>
        <v>Não cadastrado</v>
      </c>
      <c r="D227" s="34"/>
      <c r="E22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7" s="18" t="str">
        <f>IFERROR(
  INDEX(TblCadastro[JORNADA ATUAL (h/dia)],
    MATCH(TblApuracao[[#This Row],[COLABORADOR]],TblCadastro[NOME COMPLETO],0)
  ),
  ""
)</f>
        <v/>
      </c>
      <c r="G227" s="18" t="str">
        <f>IFERROR(
  INDEX(TblCadastro[TRABALHA SÁB?],
    MATCH(TblApuracao[[#This Row],[COLABORADOR]],TblCadastro[NOME COMPLETO],0)
  ),
  ""
)</f>
        <v/>
      </c>
      <c r="H22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7" s="34"/>
      <c r="J227" s="34"/>
      <c r="K227" s="34"/>
      <c r="L227" s="21">
        <f>TblApuracao[[#This Row],[HRS EXTRAS (h:mm)]]-TblApuracao[[#This Row],[FALTAS/ATRASOS (h:mm)]]+TblApuracao[[#This Row],[AJUSTE MANUAL (h:mm)]]</f>
        <v>0</v>
      </c>
      <c r="M227" s="21">
        <f>SUMPRODUCT((TblApuracao[COLABORADOR]=TblApuracao[[#This Row],[COLABORADOR]])*(TblApuracao[COMPETÊNCIA]&lt;=TblApuracao[[#This Row],[COMPETÊNCIA]])*TblApuracao[HRS EXTRAS (h:mm)])</f>
        <v>0</v>
      </c>
      <c r="N227" s="21">
        <f>SUMPRODUCT((TblApuracao[COLABORADOR]=TblApuracao[[#This Row],[COLABORADOR]])*(TblApuracao[COMPETÊNCIA]&lt;=TblApuracao[[#This Row],[COMPETÊNCIA]])*TblApuracao[FALTAS/ATRASOS (h:mm)])</f>
        <v>0</v>
      </c>
      <c r="O227" s="21">
        <f>TblApuracao[[#This Row],[SALDO ANT. (h:mm)]]+TblApuracao[[#This Row],[SALDO MÊS (h:mm)]]</f>
        <v>0</v>
      </c>
      <c r="P227" s="24"/>
      <c r="Q227" s="24"/>
      <c r="R227" s="24"/>
      <c r="S227" s="24" t="str">
        <f>TblApuracao[[#This Row],[COLABORADOR]]&amp;TblApuracao[[#This Row],[COMPETÊNCIA]]</f>
        <v/>
      </c>
      <c r="T227" s="24">
        <f>ROW(TblApuracao[[#Headers],[COMPETÊNCIA]])</f>
        <v>2</v>
      </c>
      <c r="U227" s="24" t="str">
        <f>TblApuracao[[#This Row],[COLABORADOR]]&amp;TblApuracao[[#This Row],[COMPETÊNCIA]]</f>
        <v/>
      </c>
      <c r="V227" s="24" t="str">
        <f>INDEX(TblApuracao[COMPETÊNCIA],1)</f>
        <v>2026-03</v>
      </c>
      <c r="W227" s="25">
        <f>SUMPRODUCT((TblApuracao[COLABORADOR]="Emanuelly Ribeiro de Aguiar")*(TblApuracao[COMPETÊNCIA]&lt;="2025-09")*(TblApuracao[SALDO MÊS (h:mm)]&gt;0)*TblApuracao[SALDO MÊS (h:mm)])</f>
        <v>0.6875</v>
      </c>
    </row>
    <row r="228" spans="1:23" ht="15" customHeight="1" x14ac:dyDescent="0.25">
      <c r="A228" s="18">
        <f t="shared" si="3"/>
        <v>226</v>
      </c>
      <c r="B228" s="34"/>
      <c r="C228" s="19" t="str">
        <f>IFERROR(
  INDEX(TblCadastro[SETOR],
    MATCH(TblApuracao[[#This Row],[COLABORADOR]],TblCadastro[NOME COMPLETO],0)
  ),
  "Não cadastrado"
)</f>
        <v>Não cadastrado</v>
      </c>
      <c r="D228" s="34"/>
      <c r="E22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8" s="18" t="str">
        <f>IFERROR(
  INDEX(TblCadastro[JORNADA ATUAL (h/dia)],
    MATCH(TblApuracao[[#This Row],[COLABORADOR]],TblCadastro[NOME COMPLETO],0)
  ),
  ""
)</f>
        <v/>
      </c>
      <c r="G228" s="18" t="str">
        <f>IFERROR(
  INDEX(TblCadastro[TRABALHA SÁB?],
    MATCH(TblApuracao[[#This Row],[COLABORADOR]],TblCadastro[NOME COMPLETO],0)
  ),
  ""
)</f>
        <v/>
      </c>
      <c r="H22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8" s="34"/>
      <c r="J228" s="34"/>
      <c r="K228" s="34"/>
      <c r="L228" s="21">
        <f>TblApuracao[[#This Row],[HRS EXTRAS (h:mm)]]-TblApuracao[[#This Row],[FALTAS/ATRASOS (h:mm)]]+TblApuracao[[#This Row],[AJUSTE MANUAL (h:mm)]]</f>
        <v>0</v>
      </c>
      <c r="M228" s="21">
        <f>SUMPRODUCT((TblApuracao[COLABORADOR]=TblApuracao[[#This Row],[COLABORADOR]])*(TblApuracao[COMPETÊNCIA]&lt;=TblApuracao[[#This Row],[COMPETÊNCIA]])*TblApuracao[HRS EXTRAS (h:mm)])</f>
        <v>0</v>
      </c>
      <c r="N228" s="21">
        <f>SUMPRODUCT((TblApuracao[COLABORADOR]=TblApuracao[[#This Row],[COLABORADOR]])*(TblApuracao[COMPETÊNCIA]&lt;=TblApuracao[[#This Row],[COMPETÊNCIA]])*TblApuracao[FALTAS/ATRASOS (h:mm)])</f>
        <v>0</v>
      </c>
      <c r="O228" s="21">
        <f>TblApuracao[[#This Row],[SALDO ANT. (h:mm)]]+TblApuracao[[#This Row],[SALDO MÊS (h:mm)]]</f>
        <v>0</v>
      </c>
      <c r="P228" s="24"/>
      <c r="Q228" s="24"/>
      <c r="R228" s="24"/>
      <c r="S228" s="24" t="str">
        <f>TblApuracao[[#This Row],[COLABORADOR]]&amp;TblApuracao[[#This Row],[COMPETÊNCIA]]</f>
        <v/>
      </c>
      <c r="T228" s="24">
        <f>ROW(TblApuracao[[#Headers],[COMPETÊNCIA]])</f>
        <v>2</v>
      </c>
      <c r="U228" s="24" t="str">
        <f>TblApuracao[[#This Row],[COLABORADOR]]&amp;TblApuracao[[#This Row],[COMPETÊNCIA]]</f>
        <v/>
      </c>
      <c r="V228" s="24" t="str">
        <f>INDEX(TblApuracao[COMPETÊNCIA],1)</f>
        <v>2026-03</v>
      </c>
      <c r="W228" s="25">
        <f>SUMPRODUCT((TblApuracao[COLABORADOR]="Emanuelly Ribeiro de Aguiar")*(TblApuracao[COMPETÊNCIA]&lt;="2025-09")*(TblApuracao[SALDO MÊS (h:mm)]&gt;0)*TblApuracao[SALDO MÊS (h:mm)])</f>
        <v>0.6875</v>
      </c>
    </row>
    <row r="229" spans="1:23" ht="15" customHeight="1" x14ac:dyDescent="0.25">
      <c r="A229" s="18">
        <f t="shared" si="3"/>
        <v>227</v>
      </c>
      <c r="B229" s="34"/>
      <c r="C229" s="19" t="str">
        <f>IFERROR(
  INDEX(TblCadastro[SETOR],
    MATCH(TblApuracao[[#This Row],[COLABORADOR]],TblCadastro[NOME COMPLETO],0)
  ),
  "Não cadastrado"
)</f>
        <v>Não cadastrado</v>
      </c>
      <c r="D229" s="34"/>
      <c r="E22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9" s="18" t="str">
        <f>IFERROR(
  INDEX(TblCadastro[JORNADA ATUAL (h/dia)],
    MATCH(TblApuracao[[#This Row],[COLABORADOR]],TblCadastro[NOME COMPLETO],0)
  ),
  ""
)</f>
        <v/>
      </c>
      <c r="G229" s="18" t="str">
        <f>IFERROR(
  INDEX(TblCadastro[TRABALHA SÁB?],
    MATCH(TblApuracao[[#This Row],[COLABORADOR]],TblCadastro[NOME COMPLETO],0)
  ),
  ""
)</f>
        <v/>
      </c>
      <c r="H22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9" s="34"/>
      <c r="J229" s="34"/>
      <c r="K229" s="34"/>
      <c r="L229" s="21">
        <f>TblApuracao[[#This Row],[HRS EXTRAS (h:mm)]]-TblApuracao[[#This Row],[FALTAS/ATRASOS (h:mm)]]+TblApuracao[[#This Row],[AJUSTE MANUAL (h:mm)]]</f>
        <v>0</v>
      </c>
      <c r="M229" s="21">
        <f>SUMPRODUCT((TblApuracao[COLABORADOR]=TblApuracao[[#This Row],[COLABORADOR]])*(TblApuracao[COMPETÊNCIA]&lt;=TblApuracao[[#This Row],[COMPETÊNCIA]])*TblApuracao[HRS EXTRAS (h:mm)])</f>
        <v>0</v>
      </c>
      <c r="N229" s="21">
        <f>SUMPRODUCT((TblApuracao[COLABORADOR]=TblApuracao[[#This Row],[COLABORADOR]])*(TblApuracao[COMPETÊNCIA]&lt;=TblApuracao[[#This Row],[COMPETÊNCIA]])*TblApuracao[FALTAS/ATRASOS (h:mm)])</f>
        <v>0</v>
      </c>
      <c r="O229" s="21">
        <f>TblApuracao[[#This Row],[SALDO ANT. (h:mm)]]+TblApuracao[[#This Row],[SALDO MÊS (h:mm)]]</f>
        <v>0</v>
      </c>
      <c r="P229" s="24"/>
      <c r="Q229" s="24"/>
      <c r="R229" s="24"/>
      <c r="S229" s="24" t="str">
        <f>TblApuracao[[#This Row],[COLABORADOR]]&amp;TblApuracao[[#This Row],[COMPETÊNCIA]]</f>
        <v/>
      </c>
      <c r="T229" s="24">
        <f>ROW(TblApuracao[[#Headers],[COMPETÊNCIA]])</f>
        <v>2</v>
      </c>
      <c r="U229" s="24" t="str">
        <f>TblApuracao[[#This Row],[COLABORADOR]]&amp;TblApuracao[[#This Row],[COMPETÊNCIA]]</f>
        <v/>
      </c>
      <c r="V229" s="24" t="str">
        <f>INDEX(TblApuracao[COMPETÊNCIA],1)</f>
        <v>2026-03</v>
      </c>
      <c r="W229" s="25">
        <f>SUMPRODUCT((TblApuracao[COLABORADOR]="Emanuelly Ribeiro de Aguiar")*(TblApuracao[COMPETÊNCIA]&lt;="2025-09")*(TblApuracao[SALDO MÊS (h:mm)]&gt;0)*TblApuracao[SALDO MÊS (h:mm)])</f>
        <v>0.6875</v>
      </c>
    </row>
    <row r="230" spans="1:23" ht="15" customHeight="1" x14ac:dyDescent="0.25">
      <c r="A230" s="18">
        <f t="shared" si="3"/>
        <v>228</v>
      </c>
      <c r="B230" s="34"/>
      <c r="C230" s="19" t="str">
        <f>IFERROR(
  INDEX(TblCadastro[SETOR],
    MATCH(TblApuracao[[#This Row],[COLABORADOR]],TblCadastro[NOME COMPLETO],0)
  ),
  "Não cadastrado"
)</f>
        <v>Não cadastrado</v>
      </c>
      <c r="D230" s="34"/>
      <c r="E23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0" s="18" t="str">
        <f>IFERROR(
  INDEX(TblCadastro[JORNADA ATUAL (h/dia)],
    MATCH(TblApuracao[[#This Row],[COLABORADOR]],TblCadastro[NOME COMPLETO],0)
  ),
  ""
)</f>
        <v/>
      </c>
      <c r="G230" s="18" t="str">
        <f>IFERROR(
  INDEX(TblCadastro[TRABALHA SÁB?],
    MATCH(TblApuracao[[#This Row],[COLABORADOR]],TblCadastro[NOME COMPLETO],0)
  ),
  ""
)</f>
        <v/>
      </c>
      <c r="H23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0" s="34"/>
      <c r="J230" s="34"/>
      <c r="K230" s="34"/>
      <c r="L230" s="21">
        <f>TblApuracao[[#This Row],[HRS EXTRAS (h:mm)]]-TblApuracao[[#This Row],[FALTAS/ATRASOS (h:mm)]]+TblApuracao[[#This Row],[AJUSTE MANUAL (h:mm)]]</f>
        <v>0</v>
      </c>
      <c r="M230" s="21">
        <f>SUMPRODUCT((TblApuracao[COLABORADOR]=TblApuracao[[#This Row],[COLABORADOR]])*(TblApuracao[COMPETÊNCIA]&lt;=TblApuracao[[#This Row],[COMPETÊNCIA]])*TblApuracao[HRS EXTRAS (h:mm)])</f>
        <v>0</v>
      </c>
      <c r="N230" s="21">
        <f>SUMPRODUCT((TblApuracao[COLABORADOR]=TblApuracao[[#This Row],[COLABORADOR]])*(TblApuracao[COMPETÊNCIA]&lt;=TblApuracao[[#This Row],[COMPETÊNCIA]])*TblApuracao[FALTAS/ATRASOS (h:mm)])</f>
        <v>0</v>
      </c>
      <c r="O230" s="21">
        <f>TblApuracao[[#This Row],[SALDO ANT. (h:mm)]]+TblApuracao[[#This Row],[SALDO MÊS (h:mm)]]</f>
        <v>0</v>
      </c>
      <c r="P230" s="24"/>
      <c r="Q230" s="24"/>
      <c r="R230" s="24"/>
      <c r="S230" s="24" t="str">
        <f>TblApuracao[[#This Row],[COLABORADOR]]&amp;TblApuracao[[#This Row],[COMPETÊNCIA]]</f>
        <v/>
      </c>
      <c r="T230" s="24">
        <f>ROW(TblApuracao[[#Headers],[COMPETÊNCIA]])</f>
        <v>2</v>
      </c>
      <c r="U230" s="24" t="str">
        <f>TblApuracao[[#This Row],[COLABORADOR]]&amp;TblApuracao[[#This Row],[COMPETÊNCIA]]</f>
        <v/>
      </c>
      <c r="V230" s="24" t="str">
        <f>INDEX(TblApuracao[COMPETÊNCIA],1)</f>
        <v>2026-03</v>
      </c>
      <c r="W230" s="25">
        <f>SUMPRODUCT((TblApuracao[COLABORADOR]="Emanuelly Ribeiro de Aguiar")*(TblApuracao[COMPETÊNCIA]&lt;="2025-09")*(TblApuracao[SALDO MÊS (h:mm)]&gt;0)*TblApuracao[SALDO MÊS (h:mm)])</f>
        <v>0.6875</v>
      </c>
    </row>
    <row r="231" spans="1:23" ht="15" customHeight="1" x14ac:dyDescent="0.25">
      <c r="A231" s="18">
        <f t="shared" si="3"/>
        <v>229</v>
      </c>
      <c r="B231" s="34"/>
      <c r="C231" s="19" t="str">
        <f>IFERROR(
  INDEX(TblCadastro[SETOR],
    MATCH(TblApuracao[[#This Row],[COLABORADOR]],TblCadastro[NOME COMPLETO],0)
  ),
  "Não cadastrado"
)</f>
        <v>Não cadastrado</v>
      </c>
      <c r="D231" s="34"/>
      <c r="E23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1" s="18" t="str">
        <f>IFERROR(
  INDEX(TblCadastro[JORNADA ATUAL (h/dia)],
    MATCH(TblApuracao[[#This Row],[COLABORADOR]],TblCadastro[NOME COMPLETO],0)
  ),
  ""
)</f>
        <v/>
      </c>
      <c r="G231" s="18" t="str">
        <f>IFERROR(
  INDEX(TblCadastro[TRABALHA SÁB?],
    MATCH(TblApuracao[[#This Row],[COLABORADOR]],TblCadastro[NOME COMPLETO],0)
  ),
  ""
)</f>
        <v/>
      </c>
      <c r="H23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1" s="34"/>
      <c r="J231" s="34"/>
      <c r="K231" s="34"/>
      <c r="L231" s="21">
        <f>TblApuracao[[#This Row],[HRS EXTRAS (h:mm)]]-TblApuracao[[#This Row],[FALTAS/ATRASOS (h:mm)]]+TblApuracao[[#This Row],[AJUSTE MANUAL (h:mm)]]</f>
        <v>0</v>
      </c>
      <c r="M231" s="21">
        <f>SUMPRODUCT((TblApuracao[COLABORADOR]=TblApuracao[[#This Row],[COLABORADOR]])*(TblApuracao[COMPETÊNCIA]&lt;=TblApuracao[[#This Row],[COMPETÊNCIA]])*TblApuracao[HRS EXTRAS (h:mm)])</f>
        <v>0</v>
      </c>
      <c r="N231" s="21">
        <f>SUMPRODUCT((TblApuracao[COLABORADOR]=TblApuracao[[#This Row],[COLABORADOR]])*(TblApuracao[COMPETÊNCIA]&lt;=TblApuracao[[#This Row],[COMPETÊNCIA]])*TblApuracao[FALTAS/ATRASOS (h:mm)])</f>
        <v>0</v>
      </c>
      <c r="O231" s="21">
        <f>TblApuracao[[#This Row],[SALDO ANT. (h:mm)]]+TblApuracao[[#This Row],[SALDO MÊS (h:mm)]]</f>
        <v>0</v>
      </c>
      <c r="P231" s="24"/>
      <c r="Q231" s="24"/>
      <c r="R231" s="24"/>
      <c r="S231" s="24" t="str">
        <f>TblApuracao[[#This Row],[COLABORADOR]]&amp;TblApuracao[[#This Row],[COMPETÊNCIA]]</f>
        <v/>
      </c>
      <c r="T231" s="24">
        <f>ROW(TblApuracao[[#Headers],[COMPETÊNCIA]])</f>
        <v>2</v>
      </c>
      <c r="U231" s="24" t="str">
        <f>TblApuracao[[#This Row],[COLABORADOR]]&amp;TblApuracao[[#This Row],[COMPETÊNCIA]]</f>
        <v/>
      </c>
      <c r="V231" s="24" t="str">
        <f>INDEX(TblApuracao[COMPETÊNCIA],1)</f>
        <v>2026-03</v>
      </c>
      <c r="W231" s="25">
        <f>SUMPRODUCT((TblApuracao[COLABORADOR]="Emanuelly Ribeiro de Aguiar")*(TblApuracao[COMPETÊNCIA]&lt;="2025-09")*(TblApuracao[SALDO MÊS (h:mm)]&gt;0)*TblApuracao[SALDO MÊS (h:mm)])</f>
        <v>0.6875</v>
      </c>
    </row>
    <row r="232" spans="1:23" ht="15" customHeight="1" x14ac:dyDescent="0.25">
      <c r="A232" s="18">
        <f t="shared" si="3"/>
        <v>230</v>
      </c>
      <c r="B232" s="34"/>
      <c r="C232" s="19" t="str">
        <f>IFERROR(
  INDEX(TblCadastro[SETOR],
    MATCH(TblApuracao[[#This Row],[COLABORADOR]],TblCadastro[NOME COMPLETO],0)
  ),
  "Não cadastrado"
)</f>
        <v>Não cadastrado</v>
      </c>
      <c r="D232" s="34"/>
      <c r="E23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2" s="18" t="str">
        <f>IFERROR(
  INDEX(TblCadastro[JORNADA ATUAL (h/dia)],
    MATCH(TblApuracao[[#This Row],[COLABORADOR]],TblCadastro[NOME COMPLETO],0)
  ),
  ""
)</f>
        <v/>
      </c>
      <c r="G232" s="18" t="str">
        <f>IFERROR(
  INDEX(TblCadastro[TRABALHA SÁB?],
    MATCH(TblApuracao[[#This Row],[COLABORADOR]],TblCadastro[NOME COMPLETO],0)
  ),
  ""
)</f>
        <v/>
      </c>
      <c r="H23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2" s="34"/>
      <c r="J232" s="34"/>
      <c r="K232" s="34"/>
      <c r="L232" s="21">
        <f>TblApuracao[[#This Row],[HRS EXTRAS (h:mm)]]-TblApuracao[[#This Row],[FALTAS/ATRASOS (h:mm)]]+TblApuracao[[#This Row],[AJUSTE MANUAL (h:mm)]]</f>
        <v>0</v>
      </c>
      <c r="M232" s="21">
        <f>SUMPRODUCT((TblApuracao[COLABORADOR]=TblApuracao[[#This Row],[COLABORADOR]])*(TblApuracao[COMPETÊNCIA]&lt;=TblApuracao[[#This Row],[COMPETÊNCIA]])*TblApuracao[HRS EXTRAS (h:mm)])</f>
        <v>0</v>
      </c>
      <c r="N232" s="21">
        <f>SUMPRODUCT((TblApuracao[COLABORADOR]=TblApuracao[[#This Row],[COLABORADOR]])*(TblApuracao[COMPETÊNCIA]&lt;=TblApuracao[[#This Row],[COMPETÊNCIA]])*TblApuracao[FALTAS/ATRASOS (h:mm)])</f>
        <v>0</v>
      </c>
      <c r="O232" s="21">
        <f>TblApuracao[[#This Row],[SALDO ANT. (h:mm)]]+TblApuracao[[#This Row],[SALDO MÊS (h:mm)]]</f>
        <v>0</v>
      </c>
      <c r="P232" s="24"/>
      <c r="Q232" s="24"/>
      <c r="R232" s="24"/>
      <c r="S232" s="24" t="str">
        <f>TblApuracao[[#This Row],[COLABORADOR]]&amp;TblApuracao[[#This Row],[COMPETÊNCIA]]</f>
        <v/>
      </c>
      <c r="T232" s="24">
        <f>ROW(TblApuracao[[#Headers],[COMPETÊNCIA]])</f>
        <v>2</v>
      </c>
      <c r="U232" s="24" t="str">
        <f>TblApuracao[[#This Row],[COLABORADOR]]&amp;TblApuracao[[#This Row],[COMPETÊNCIA]]</f>
        <v/>
      </c>
      <c r="V232" s="24" t="str">
        <f>INDEX(TblApuracao[COMPETÊNCIA],1)</f>
        <v>2026-03</v>
      </c>
      <c r="W232" s="25">
        <f>SUMPRODUCT((TblApuracao[COLABORADOR]="Emanuelly Ribeiro de Aguiar")*(TblApuracao[COMPETÊNCIA]&lt;="2025-09")*(TblApuracao[SALDO MÊS (h:mm)]&gt;0)*TblApuracao[SALDO MÊS (h:mm)])</f>
        <v>0.6875</v>
      </c>
    </row>
    <row r="233" spans="1:23" ht="15" customHeight="1" x14ac:dyDescent="0.25">
      <c r="A233" s="18">
        <f t="shared" si="3"/>
        <v>231</v>
      </c>
      <c r="B233" s="34"/>
      <c r="C233" s="19" t="str">
        <f>IFERROR(
  INDEX(TblCadastro[SETOR],
    MATCH(TblApuracao[[#This Row],[COLABORADOR]],TblCadastro[NOME COMPLETO],0)
  ),
  "Não cadastrado"
)</f>
        <v>Não cadastrado</v>
      </c>
      <c r="D233" s="34"/>
      <c r="E23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3" s="18" t="str">
        <f>IFERROR(
  INDEX(TblCadastro[JORNADA ATUAL (h/dia)],
    MATCH(TblApuracao[[#This Row],[COLABORADOR]],TblCadastro[NOME COMPLETO],0)
  ),
  ""
)</f>
        <v/>
      </c>
      <c r="G233" s="18" t="str">
        <f>IFERROR(
  INDEX(TblCadastro[TRABALHA SÁB?],
    MATCH(TblApuracao[[#This Row],[COLABORADOR]],TblCadastro[NOME COMPLETO],0)
  ),
  ""
)</f>
        <v/>
      </c>
      <c r="H23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3" s="34"/>
      <c r="J233" s="34"/>
      <c r="K233" s="34"/>
      <c r="L233" s="21">
        <f>TblApuracao[[#This Row],[HRS EXTRAS (h:mm)]]-TblApuracao[[#This Row],[FALTAS/ATRASOS (h:mm)]]+TblApuracao[[#This Row],[AJUSTE MANUAL (h:mm)]]</f>
        <v>0</v>
      </c>
      <c r="M233" s="21">
        <f>SUMPRODUCT((TblApuracao[COLABORADOR]=TblApuracao[[#This Row],[COLABORADOR]])*(TblApuracao[COMPETÊNCIA]&lt;=TblApuracao[[#This Row],[COMPETÊNCIA]])*TblApuracao[HRS EXTRAS (h:mm)])</f>
        <v>0</v>
      </c>
      <c r="N233" s="21">
        <f>SUMPRODUCT((TblApuracao[COLABORADOR]=TblApuracao[[#This Row],[COLABORADOR]])*(TblApuracao[COMPETÊNCIA]&lt;=TblApuracao[[#This Row],[COMPETÊNCIA]])*TblApuracao[FALTAS/ATRASOS (h:mm)])</f>
        <v>0</v>
      </c>
      <c r="O233" s="21">
        <f>TblApuracao[[#This Row],[SALDO ANT. (h:mm)]]+TblApuracao[[#This Row],[SALDO MÊS (h:mm)]]</f>
        <v>0</v>
      </c>
      <c r="P233" s="24"/>
      <c r="Q233" s="24"/>
      <c r="R233" s="24"/>
      <c r="S233" s="24" t="str">
        <f>TblApuracao[[#This Row],[COLABORADOR]]&amp;TblApuracao[[#This Row],[COMPETÊNCIA]]</f>
        <v/>
      </c>
      <c r="T233" s="24">
        <f>ROW(TblApuracao[[#Headers],[COMPETÊNCIA]])</f>
        <v>2</v>
      </c>
      <c r="U233" s="24" t="str">
        <f>TblApuracao[[#This Row],[COLABORADOR]]&amp;TblApuracao[[#This Row],[COMPETÊNCIA]]</f>
        <v/>
      </c>
      <c r="V233" s="24" t="str">
        <f>INDEX(TblApuracao[COMPETÊNCIA],1)</f>
        <v>2026-03</v>
      </c>
      <c r="W233" s="25">
        <f>SUMPRODUCT((TblApuracao[COLABORADOR]="Emanuelly Ribeiro de Aguiar")*(TblApuracao[COMPETÊNCIA]&lt;="2025-09")*(TblApuracao[SALDO MÊS (h:mm)]&gt;0)*TblApuracao[SALDO MÊS (h:mm)])</f>
        <v>0.6875</v>
      </c>
    </row>
    <row r="234" spans="1:23" ht="15" customHeight="1" x14ac:dyDescent="0.25">
      <c r="A234" s="18">
        <f t="shared" si="3"/>
        <v>232</v>
      </c>
      <c r="B234" s="34"/>
      <c r="C234" s="19" t="str">
        <f>IFERROR(
  INDEX(TblCadastro[SETOR],
    MATCH(TblApuracao[[#This Row],[COLABORADOR]],TblCadastro[NOME COMPLETO],0)
  ),
  "Não cadastrado"
)</f>
        <v>Não cadastrado</v>
      </c>
      <c r="D234" s="34"/>
      <c r="E23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4" s="18" t="str">
        <f>IFERROR(
  INDEX(TblCadastro[JORNADA ATUAL (h/dia)],
    MATCH(TblApuracao[[#This Row],[COLABORADOR]],TblCadastro[NOME COMPLETO],0)
  ),
  ""
)</f>
        <v/>
      </c>
      <c r="G234" s="18" t="str">
        <f>IFERROR(
  INDEX(TblCadastro[TRABALHA SÁB?],
    MATCH(TblApuracao[[#This Row],[COLABORADOR]],TblCadastro[NOME COMPLETO],0)
  ),
  ""
)</f>
        <v/>
      </c>
      <c r="H23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4" s="34"/>
      <c r="J234" s="34"/>
      <c r="K234" s="34"/>
      <c r="L234" s="21">
        <f>TblApuracao[[#This Row],[HRS EXTRAS (h:mm)]]-TblApuracao[[#This Row],[FALTAS/ATRASOS (h:mm)]]+TblApuracao[[#This Row],[AJUSTE MANUAL (h:mm)]]</f>
        <v>0</v>
      </c>
      <c r="M234" s="21">
        <f>SUMPRODUCT((TblApuracao[COLABORADOR]=TblApuracao[[#This Row],[COLABORADOR]])*(TblApuracao[COMPETÊNCIA]&lt;=TblApuracao[[#This Row],[COMPETÊNCIA]])*TblApuracao[HRS EXTRAS (h:mm)])</f>
        <v>0</v>
      </c>
      <c r="N234" s="21">
        <f>SUMPRODUCT((TblApuracao[COLABORADOR]=TblApuracao[[#This Row],[COLABORADOR]])*(TblApuracao[COMPETÊNCIA]&lt;=TblApuracao[[#This Row],[COMPETÊNCIA]])*TblApuracao[FALTAS/ATRASOS (h:mm)])</f>
        <v>0</v>
      </c>
      <c r="O234" s="21">
        <f>TblApuracao[[#This Row],[SALDO ANT. (h:mm)]]+TblApuracao[[#This Row],[SALDO MÊS (h:mm)]]</f>
        <v>0</v>
      </c>
      <c r="P234" s="24"/>
      <c r="Q234" s="24"/>
      <c r="R234" s="24"/>
      <c r="S234" s="24" t="str">
        <f>TblApuracao[[#This Row],[COLABORADOR]]&amp;TblApuracao[[#This Row],[COMPETÊNCIA]]</f>
        <v/>
      </c>
      <c r="T234" s="24">
        <f>ROW(TblApuracao[[#Headers],[COMPETÊNCIA]])</f>
        <v>2</v>
      </c>
      <c r="U234" s="24" t="str">
        <f>TblApuracao[[#This Row],[COLABORADOR]]&amp;TblApuracao[[#This Row],[COMPETÊNCIA]]</f>
        <v/>
      </c>
      <c r="V234" s="24" t="str">
        <f>INDEX(TblApuracao[COMPETÊNCIA],1)</f>
        <v>2026-03</v>
      </c>
      <c r="W234" s="25">
        <f>SUMPRODUCT((TblApuracao[COLABORADOR]="Emanuelly Ribeiro de Aguiar")*(TblApuracao[COMPETÊNCIA]&lt;="2025-09")*(TblApuracao[SALDO MÊS (h:mm)]&gt;0)*TblApuracao[SALDO MÊS (h:mm)])</f>
        <v>0.6875</v>
      </c>
    </row>
    <row r="235" spans="1:23" ht="15" customHeight="1" x14ac:dyDescent="0.25">
      <c r="A235" s="18">
        <f t="shared" si="3"/>
        <v>233</v>
      </c>
      <c r="B235" s="34"/>
      <c r="C235" s="19" t="str">
        <f>IFERROR(
  INDEX(TblCadastro[SETOR],
    MATCH(TblApuracao[[#This Row],[COLABORADOR]],TblCadastro[NOME COMPLETO],0)
  ),
  "Não cadastrado"
)</f>
        <v>Não cadastrado</v>
      </c>
      <c r="D235" s="34"/>
      <c r="E23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5" s="18" t="str">
        <f>IFERROR(
  INDEX(TblCadastro[JORNADA ATUAL (h/dia)],
    MATCH(TblApuracao[[#This Row],[COLABORADOR]],TblCadastro[NOME COMPLETO],0)
  ),
  ""
)</f>
        <v/>
      </c>
      <c r="G235" s="18" t="str">
        <f>IFERROR(
  INDEX(TblCadastro[TRABALHA SÁB?],
    MATCH(TblApuracao[[#This Row],[COLABORADOR]],TblCadastro[NOME COMPLETO],0)
  ),
  ""
)</f>
        <v/>
      </c>
      <c r="H23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5" s="34"/>
      <c r="J235" s="34"/>
      <c r="K235" s="34"/>
      <c r="L235" s="21">
        <f>TblApuracao[[#This Row],[HRS EXTRAS (h:mm)]]-TblApuracao[[#This Row],[FALTAS/ATRASOS (h:mm)]]+TblApuracao[[#This Row],[AJUSTE MANUAL (h:mm)]]</f>
        <v>0</v>
      </c>
      <c r="M235" s="21">
        <f>SUMPRODUCT((TblApuracao[COLABORADOR]=TblApuracao[[#This Row],[COLABORADOR]])*(TblApuracao[COMPETÊNCIA]&lt;=TblApuracao[[#This Row],[COMPETÊNCIA]])*TblApuracao[HRS EXTRAS (h:mm)])</f>
        <v>0</v>
      </c>
      <c r="N235" s="21">
        <f>SUMPRODUCT((TblApuracao[COLABORADOR]=TblApuracao[[#This Row],[COLABORADOR]])*(TblApuracao[COMPETÊNCIA]&lt;=TblApuracao[[#This Row],[COMPETÊNCIA]])*TblApuracao[FALTAS/ATRASOS (h:mm)])</f>
        <v>0</v>
      </c>
      <c r="O235" s="21">
        <f>TblApuracao[[#This Row],[SALDO ANT. (h:mm)]]+TblApuracao[[#This Row],[SALDO MÊS (h:mm)]]</f>
        <v>0</v>
      </c>
      <c r="P235" s="24"/>
      <c r="Q235" s="24"/>
      <c r="R235" s="24"/>
      <c r="S235" s="24" t="str">
        <f>TblApuracao[[#This Row],[COLABORADOR]]&amp;TblApuracao[[#This Row],[COMPETÊNCIA]]</f>
        <v/>
      </c>
      <c r="T235" s="24">
        <f>ROW(TblApuracao[[#Headers],[COMPETÊNCIA]])</f>
        <v>2</v>
      </c>
      <c r="U235" s="24" t="str">
        <f>TblApuracao[[#This Row],[COLABORADOR]]&amp;TblApuracao[[#This Row],[COMPETÊNCIA]]</f>
        <v/>
      </c>
      <c r="V235" s="24" t="str">
        <f>INDEX(TblApuracao[COMPETÊNCIA],1)</f>
        <v>2026-03</v>
      </c>
      <c r="W235" s="25">
        <f>SUMPRODUCT((TblApuracao[COLABORADOR]="Emanuelly Ribeiro de Aguiar")*(TblApuracao[COMPETÊNCIA]&lt;="2025-09")*(TblApuracao[SALDO MÊS (h:mm)]&gt;0)*TblApuracao[SALDO MÊS (h:mm)])</f>
        <v>0.6875</v>
      </c>
    </row>
    <row r="236" spans="1:23" ht="15" customHeight="1" x14ac:dyDescent="0.25">
      <c r="A236" s="18">
        <f t="shared" si="3"/>
        <v>234</v>
      </c>
      <c r="B236" s="34"/>
      <c r="C236" s="19" t="str">
        <f>IFERROR(
  INDEX(TblCadastro[SETOR],
    MATCH(TblApuracao[[#This Row],[COLABORADOR]],TblCadastro[NOME COMPLETO],0)
  ),
  "Não cadastrado"
)</f>
        <v>Não cadastrado</v>
      </c>
      <c r="D236" s="34"/>
      <c r="E23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6" s="18" t="str">
        <f>IFERROR(
  INDEX(TblCadastro[JORNADA ATUAL (h/dia)],
    MATCH(TblApuracao[[#This Row],[COLABORADOR]],TblCadastro[NOME COMPLETO],0)
  ),
  ""
)</f>
        <v/>
      </c>
      <c r="G236" s="18" t="str">
        <f>IFERROR(
  INDEX(TblCadastro[TRABALHA SÁB?],
    MATCH(TblApuracao[[#This Row],[COLABORADOR]],TblCadastro[NOME COMPLETO],0)
  ),
  ""
)</f>
        <v/>
      </c>
      <c r="H23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6" s="34"/>
      <c r="J236" s="34"/>
      <c r="K236" s="34"/>
      <c r="L236" s="21">
        <f>TblApuracao[[#This Row],[HRS EXTRAS (h:mm)]]-TblApuracao[[#This Row],[FALTAS/ATRASOS (h:mm)]]+TblApuracao[[#This Row],[AJUSTE MANUAL (h:mm)]]</f>
        <v>0</v>
      </c>
      <c r="M236" s="21">
        <f>SUMPRODUCT((TblApuracao[COLABORADOR]=TblApuracao[[#This Row],[COLABORADOR]])*(TblApuracao[COMPETÊNCIA]&lt;=TblApuracao[[#This Row],[COMPETÊNCIA]])*TblApuracao[HRS EXTRAS (h:mm)])</f>
        <v>0</v>
      </c>
      <c r="N236" s="21">
        <f>SUMPRODUCT((TblApuracao[COLABORADOR]=TblApuracao[[#This Row],[COLABORADOR]])*(TblApuracao[COMPETÊNCIA]&lt;=TblApuracao[[#This Row],[COMPETÊNCIA]])*TblApuracao[FALTAS/ATRASOS (h:mm)])</f>
        <v>0</v>
      </c>
      <c r="O236" s="21">
        <f>TblApuracao[[#This Row],[SALDO ANT. (h:mm)]]+TblApuracao[[#This Row],[SALDO MÊS (h:mm)]]</f>
        <v>0</v>
      </c>
      <c r="P236" s="24"/>
      <c r="Q236" s="24"/>
      <c r="R236" s="24"/>
      <c r="S236" s="24" t="str">
        <f>TblApuracao[[#This Row],[COLABORADOR]]&amp;TblApuracao[[#This Row],[COMPETÊNCIA]]</f>
        <v/>
      </c>
      <c r="T236" s="24">
        <f>ROW(TblApuracao[[#Headers],[COMPETÊNCIA]])</f>
        <v>2</v>
      </c>
      <c r="U236" s="24" t="str">
        <f>TblApuracao[[#This Row],[COLABORADOR]]&amp;TblApuracao[[#This Row],[COMPETÊNCIA]]</f>
        <v/>
      </c>
      <c r="V236" s="24" t="str">
        <f>INDEX(TblApuracao[COMPETÊNCIA],1)</f>
        <v>2026-03</v>
      </c>
      <c r="W236" s="25">
        <f>SUMPRODUCT((TblApuracao[COLABORADOR]="Emanuelly Ribeiro de Aguiar")*(TblApuracao[COMPETÊNCIA]&lt;="2025-09")*(TblApuracao[SALDO MÊS (h:mm)]&gt;0)*TblApuracao[SALDO MÊS (h:mm)])</f>
        <v>0.6875</v>
      </c>
    </row>
    <row r="237" spans="1:23" ht="15" customHeight="1" x14ac:dyDescent="0.25">
      <c r="A237" s="18">
        <f t="shared" si="3"/>
        <v>235</v>
      </c>
      <c r="B237" s="34"/>
      <c r="C237" s="19" t="str">
        <f>IFERROR(
  INDEX(TblCadastro[SETOR],
    MATCH(TblApuracao[[#This Row],[COLABORADOR]],TblCadastro[NOME COMPLETO],0)
  ),
  "Não cadastrado"
)</f>
        <v>Não cadastrado</v>
      </c>
      <c r="D237" s="34"/>
      <c r="E23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7" s="18" t="str">
        <f>IFERROR(
  INDEX(TblCadastro[JORNADA ATUAL (h/dia)],
    MATCH(TblApuracao[[#This Row],[COLABORADOR]],TblCadastro[NOME COMPLETO],0)
  ),
  ""
)</f>
        <v/>
      </c>
      <c r="G237" s="18" t="str">
        <f>IFERROR(
  INDEX(TblCadastro[TRABALHA SÁB?],
    MATCH(TblApuracao[[#This Row],[COLABORADOR]],TblCadastro[NOME COMPLETO],0)
  ),
  ""
)</f>
        <v/>
      </c>
      <c r="H23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7" s="34"/>
      <c r="J237" s="34"/>
      <c r="K237" s="34"/>
      <c r="L237" s="21">
        <f>TblApuracao[[#This Row],[HRS EXTRAS (h:mm)]]-TblApuracao[[#This Row],[FALTAS/ATRASOS (h:mm)]]+TblApuracao[[#This Row],[AJUSTE MANUAL (h:mm)]]</f>
        <v>0</v>
      </c>
      <c r="M237" s="21">
        <f>SUMPRODUCT((TblApuracao[COLABORADOR]=TblApuracao[[#This Row],[COLABORADOR]])*(TblApuracao[COMPETÊNCIA]&lt;=TblApuracao[[#This Row],[COMPETÊNCIA]])*TblApuracao[HRS EXTRAS (h:mm)])</f>
        <v>0</v>
      </c>
      <c r="N237" s="21">
        <f>SUMPRODUCT((TblApuracao[COLABORADOR]=TblApuracao[[#This Row],[COLABORADOR]])*(TblApuracao[COMPETÊNCIA]&lt;=TblApuracao[[#This Row],[COMPETÊNCIA]])*TblApuracao[FALTAS/ATRASOS (h:mm)])</f>
        <v>0</v>
      </c>
      <c r="O237" s="21">
        <f>TblApuracao[[#This Row],[SALDO ANT. (h:mm)]]+TblApuracao[[#This Row],[SALDO MÊS (h:mm)]]</f>
        <v>0</v>
      </c>
      <c r="P237" s="24"/>
      <c r="Q237" s="24"/>
      <c r="R237" s="24"/>
      <c r="S237" s="24" t="str">
        <f>TblApuracao[[#This Row],[COLABORADOR]]&amp;TblApuracao[[#This Row],[COMPETÊNCIA]]</f>
        <v/>
      </c>
      <c r="T237" s="24">
        <f>ROW(TblApuracao[[#Headers],[COMPETÊNCIA]])</f>
        <v>2</v>
      </c>
      <c r="U237" s="24" t="str">
        <f>TblApuracao[[#This Row],[COLABORADOR]]&amp;TblApuracao[[#This Row],[COMPETÊNCIA]]</f>
        <v/>
      </c>
      <c r="V237" s="24" t="str">
        <f>INDEX(TblApuracao[COMPETÊNCIA],1)</f>
        <v>2026-03</v>
      </c>
      <c r="W237" s="25">
        <f>SUMPRODUCT((TblApuracao[COLABORADOR]="Emanuelly Ribeiro de Aguiar")*(TblApuracao[COMPETÊNCIA]&lt;="2025-09")*(TblApuracao[SALDO MÊS (h:mm)]&gt;0)*TblApuracao[SALDO MÊS (h:mm)])</f>
        <v>0.6875</v>
      </c>
    </row>
    <row r="238" spans="1:23" ht="15" customHeight="1" x14ac:dyDescent="0.25">
      <c r="A238" s="18">
        <f t="shared" si="3"/>
        <v>236</v>
      </c>
      <c r="B238" s="34"/>
      <c r="C238" s="19" t="str">
        <f>IFERROR(
  INDEX(TblCadastro[SETOR],
    MATCH(TblApuracao[[#This Row],[COLABORADOR]],TblCadastro[NOME COMPLETO],0)
  ),
  "Não cadastrado"
)</f>
        <v>Não cadastrado</v>
      </c>
      <c r="D238" s="34"/>
      <c r="E23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8" s="18" t="str">
        <f>IFERROR(
  INDEX(TblCadastro[JORNADA ATUAL (h/dia)],
    MATCH(TblApuracao[[#This Row],[COLABORADOR]],TblCadastro[NOME COMPLETO],0)
  ),
  ""
)</f>
        <v/>
      </c>
      <c r="G238" s="18" t="str">
        <f>IFERROR(
  INDEX(TblCadastro[TRABALHA SÁB?],
    MATCH(TblApuracao[[#This Row],[COLABORADOR]],TblCadastro[NOME COMPLETO],0)
  ),
  ""
)</f>
        <v/>
      </c>
      <c r="H23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8" s="34"/>
      <c r="J238" s="34"/>
      <c r="K238" s="34"/>
      <c r="L238" s="21">
        <f>TblApuracao[[#This Row],[HRS EXTRAS (h:mm)]]-TblApuracao[[#This Row],[FALTAS/ATRASOS (h:mm)]]+TblApuracao[[#This Row],[AJUSTE MANUAL (h:mm)]]</f>
        <v>0</v>
      </c>
      <c r="M238" s="21">
        <f>SUMPRODUCT((TblApuracao[COLABORADOR]=TblApuracao[[#This Row],[COLABORADOR]])*(TblApuracao[COMPETÊNCIA]&lt;=TblApuracao[[#This Row],[COMPETÊNCIA]])*TblApuracao[HRS EXTRAS (h:mm)])</f>
        <v>0</v>
      </c>
      <c r="N238" s="21">
        <f>SUMPRODUCT((TblApuracao[COLABORADOR]=TblApuracao[[#This Row],[COLABORADOR]])*(TblApuracao[COMPETÊNCIA]&lt;=TblApuracao[[#This Row],[COMPETÊNCIA]])*TblApuracao[FALTAS/ATRASOS (h:mm)])</f>
        <v>0</v>
      </c>
      <c r="O238" s="21">
        <f>TblApuracao[[#This Row],[SALDO ANT. (h:mm)]]+TblApuracao[[#This Row],[SALDO MÊS (h:mm)]]</f>
        <v>0</v>
      </c>
      <c r="P238" s="24"/>
      <c r="Q238" s="24"/>
      <c r="R238" s="24"/>
      <c r="S238" s="24" t="str">
        <f>TblApuracao[[#This Row],[COLABORADOR]]&amp;TblApuracao[[#This Row],[COMPETÊNCIA]]</f>
        <v/>
      </c>
      <c r="T238" s="24">
        <f>ROW(TblApuracao[[#Headers],[COMPETÊNCIA]])</f>
        <v>2</v>
      </c>
      <c r="U238" s="24" t="str">
        <f>TblApuracao[[#This Row],[COLABORADOR]]&amp;TblApuracao[[#This Row],[COMPETÊNCIA]]</f>
        <v/>
      </c>
      <c r="V238" s="24" t="str">
        <f>INDEX(TblApuracao[COMPETÊNCIA],1)</f>
        <v>2026-03</v>
      </c>
      <c r="W238" s="25">
        <f>SUMPRODUCT((TblApuracao[COLABORADOR]="Emanuelly Ribeiro de Aguiar")*(TblApuracao[COMPETÊNCIA]&lt;="2025-09")*(TblApuracao[SALDO MÊS (h:mm)]&gt;0)*TblApuracao[SALDO MÊS (h:mm)])</f>
        <v>0.6875</v>
      </c>
    </row>
    <row r="239" spans="1:23" ht="15" customHeight="1" x14ac:dyDescent="0.25">
      <c r="A239" s="18">
        <f t="shared" si="3"/>
        <v>237</v>
      </c>
      <c r="B239" s="34"/>
      <c r="C239" s="19" t="str">
        <f>IFERROR(
  INDEX(TblCadastro[SETOR],
    MATCH(TblApuracao[[#This Row],[COLABORADOR]],TblCadastro[NOME COMPLETO],0)
  ),
  "Não cadastrado"
)</f>
        <v>Não cadastrado</v>
      </c>
      <c r="D239" s="34"/>
      <c r="E23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9" s="18" t="str">
        <f>IFERROR(
  INDEX(TblCadastro[JORNADA ATUAL (h/dia)],
    MATCH(TblApuracao[[#This Row],[COLABORADOR]],TblCadastro[NOME COMPLETO],0)
  ),
  ""
)</f>
        <v/>
      </c>
      <c r="G239" s="18" t="str">
        <f>IFERROR(
  INDEX(TblCadastro[TRABALHA SÁB?],
    MATCH(TblApuracao[[#This Row],[COLABORADOR]],TblCadastro[NOME COMPLETO],0)
  ),
  ""
)</f>
        <v/>
      </c>
      <c r="H23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9" s="34"/>
      <c r="J239" s="34"/>
      <c r="K239" s="34"/>
      <c r="L239" s="21">
        <f>TblApuracao[[#This Row],[HRS EXTRAS (h:mm)]]-TblApuracao[[#This Row],[FALTAS/ATRASOS (h:mm)]]+TblApuracao[[#This Row],[AJUSTE MANUAL (h:mm)]]</f>
        <v>0</v>
      </c>
      <c r="M239" s="21">
        <f>SUMPRODUCT((TblApuracao[COLABORADOR]=TblApuracao[[#This Row],[COLABORADOR]])*(TblApuracao[COMPETÊNCIA]&lt;=TblApuracao[[#This Row],[COMPETÊNCIA]])*TblApuracao[HRS EXTRAS (h:mm)])</f>
        <v>0</v>
      </c>
      <c r="N239" s="21">
        <f>SUMPRODUCT((TblApuracao[COLABORADOR]=TblApuracao[[#This Row],[COLABORADOR]])*(TblApuracao[COMPETÊNCIA]&lt;=TblApuracao[[#This Row],[COMPETÊNCIA]])*TblApuracao[FALTAS/ATRASOS (h:mm)])</f>
        <v>0</v>
      </c>
      <c r="O239" s="21">
        <f>TblApuracao[[#This Row],[SALDO ANT. (h:mm)]]+TblApuracao[[#This Row],[SALDO MÊS (h:mm)]]</f>
        <v>0</v>
      </c>
      <c r="P239" s="24"/>
      <c r="Q239" s="24"/>
      <c r="R239" s="24"/>
      <c r="S239" s="24" t="str">
        <f>TblApuracao[[#This Row],[COLABORADOR]]&amp;TblApuracao[[#This Row],[COMPETÊNCIA]]</f>
        <v/>
      </c>
      <c r="T239" s="24">
        <f>ROW(TblApuracao[[#Headers],[COMPETÊNCIA]])</f>
        <v>2</v>
      </c>
      <c r="U239" s="24" t="str">
        <f>TblApuracao[[#This Row],[COLABORADOR]]&amp;TblApuracao[[#This Row],[COMPETÊNCIA]]</f>
        <v/>
      </c>
      <c r="V239" s="24" t="str">
        <f>INDEX(TblApuracao[COMPETÊNCIA],1)</f>
        <v>2026-03</v>
      </c>
      <c r="W239" s="25">
        <f>SUMPRODUCT((TblApuracao[COLABORADOR]="Emanuelly Ribeiro de Aguiar")*(TblApuracao[COMPETÊNCIA]&lt;="2025-09")*(TblApuracao[SALDO MÊS (h:mm)]&gt;0)*TblApuracao[SALDO MÊS (h:mm)])</f>
        <v>0.6875</v>
      </c>
    </row>
    <row r="240" spans="1:23" ht="15" customHeight="1" x14ac:dyDescent="0.25">
      <c r="A240" s="18">
        <f t="shared" si="3"/>
        <v>238</v>
      </c>
      <c r="B240" s="34"/>
      <c r="C240" s="19" t="str">
        <f>IFERROR(
  INDEX(TblCadastro[SETOR],
    MATCH(TblApuracao[[#This Row],[COLABORADOR]],TblCadastro[NOME COMPLETO],0)
  ),
  "Não cadastrado"
)</f>
        <v>Não cadastrado</v>
      </c>
      <c r="D240" s="34"/>
      <c r="E24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0" s="18" t="str">
        <f>IFERROR(
  INDEX(TblCadastro[JORNADA ATUAL (h/dia)],
    MATCH(TblApuracao[[#This Row],[COLABORADOR]],TblCadastro[NOME COMPLETO],0)
  ),
  ""
)</f>
        <v/>
      </c>
      <c r="G240" s="18" t="str">
        <f>IFERROR(
  INDEX(TblCadastro[TRABALHA SÁB?],
    MATCH(TblApuracao[[#This Row],[COLABORADOR]],TblCadastro[NOME COMPLETO],0)
  ),
  ""
)</f>
        <v/>
      </c>
      <c r="H24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0" s="34"/>
      <c r="J240" s="34"/>
      <c r="K240" s="34"/>
      <c r="L240" s="21">
        <f>TblApuracao[[#This Row],[HRS EXTRAS (h:mm)]]-TblApuracao[[#This Row],[FALTAS/ATRASOS (h:mm)]]+TblApuracao[[#This Row],[AJUSTE MANUAL (h:mm)]]</f>
        <v>0</v>
      </c>
      <c r="M240" s="21">
        <f>SUMPRODUCT((TblApuracao[COLABORADOR]=TblApuracao[[#This Row],[COLABORADOR]])*(TblApuracao[COMPETÊNCIA]&lt;=TblApuracao[[#This Row],[COMPETÊNCIA]])*TblApuracao[HRS EXTRAS (h:mm)])</f>
        <v>0</v>
      </c>
      <c r="N240" s="21">
        <f>SUMPRODUCT((TblApuracao[COLABORADOR]=TblApuracao[[#This Row],[COLABORADOR]])*(TblApuracao[COMPETÊNCIA]&lt;=TblApuracao[[#This Row],[COMPETÊNCIA]])*TblApuracao[FALTAS/ATRASOS (h:mm)])</f>
        <v>0</v>
      </c>
      <c r="O240" s="21">
        <f>TblApuracao[[#This Row],[SALDO ANT. (h:mm)]]+TblApuracao[[#This Row],[SALDO MÊS (h:mm)]]</f>
        <v>0</v>
      </c>
      <c r="P240" s="24"/>
      <c r="Q240" s="24"/>
      <c r="R240" s="24"/>
      <c r="S240" s="24" t="str">
        <f>TblApuracao[[#This Row],[COLABORADOR]]&amp;TblApuracao[[#This Row],[COMPETÊNCIA]]</f>
        <v/>
      </c>
      <c r="T240" s="24">
        <f>ROW(TblApuracao[[#Headers],[COMPETÊNCIA]])</f>
        <v>2</v>
      </c>
      <c r="U240" s="24" t="str">
        <f>TblApuracao[[#This Row],[COLABORADOR]]&amp;TblApuracao[[#This Row],[COMPETÊNCIA]]</f>
        <v/>
      </c>
      <c r="V240" s="24" t="str">
        <f>INDEX(TblApuracao[COMPETÊNCIA],1)</f>
        <v>2026-03</v>
      </c>
      <c r="W240" s="25">
        <f>SUMPRODUCT((TblApuracao[COLABORADOR]="Emanuelly Ribeiro de Aguiar")*(TblApuracao[COMPETÊNCIA]&lt;="2025-09")*(TblApuracao[SALDO MÊS (h:mm)]&gt;0)*TblApuracao[SALDO MÊS (h:mm)])</f>
        <v>0.6875</v>
      </c>
    </row>
    <row r="241" spans="1:23" ht="15" customHeight="1" x14ac:dyDescent="0.25">
      <c r="A241" s="18">
        <f t="shared" si="3"/>
        <v>239</v>
      </c>
      <c r="B241" s="34"/>
      <c r="C241" s="19" t="str">
        <f>IFERROR(
  INDEX(TblCadastro[SETOR],
    MATCH(TblApuracao[[#This Row],[COLABORADOR]],TblCadastro[NOME COMPLETO],0)
  ),
  "Não cadastrado"
)</f>
        <v>Não cadastrado</v>
      </c>
      <c r="D241" s="34"/>
      <c r="E24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1" s="18" t="str">
        <f>IFERROR(
  INDEX(TblCadastro[JORNADA ATUAL (h/dia)],
    MATCH(TblApuracao[[#This Row],[COLABORADOR]],TblCadastro[NOME COMPLETO],0)
  ),
  ""
)</f>
        <v/>
      </c>
      <c r="G241" s="18" t="str">
        <f>IFERROR(
  INDEX(TblCadastro[TRABALHA SÁB?],
    MATCH(TblApuracao[[#This Row],[COLABORADOR]],TblCadastro[NOME COMPLETO],0)
  ),
  ""
)</f>
        <v/>
      </c>
      <c r="H24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1" s="34"/>
      <c r="J241" s="34"/>
      <c r="K241" s="34"/>
      <c r="L241" s="21">
        <f>TblApuracao[[#This Row],[HRS EXTRAS (h:mm)]]-TblApuracao[[#This Row],[FALTAS/ATRASOS (h:mm)]]+TblApuracao[[#This Row],[AJUSTE MANUAL (h:mm)]]</f>
        <v>0</v>
      </c>
      <c r="M241" s="21">
        <f>SUMPRODUCT((TblApuracao[COLABORADOR]=TblApuracao[[#This Row],[COLABORADOR]])*(TblApuracao[COMPETÊNCIA]&lt;=TblApuracao[[#This Row],[COMPETÊNCIA]])*TblApuracao[HRS EXTRAS (h:mm)])</f>
        <v>0</v>
      </c>
      <c r="N241" s="21">
        <f>SUMPRODUCT((TblApuracao[COLABORADOR]=TblApuracao[[#This Row],[COLABORADOR]])*(TblApuracao[COMPETÊNCIA]&lt;=TblApuracao[[#This Row],[COMPETÊNCIA]])*TblApuracao[FALTAS/ATRASOS (h:mm)])</f>
        <v>0</v>
      </c>
      <c r="O241" s="21">
        <f>TblApuracao[[#This Row],[SALDO ANT. (h:mm)]]+TblApuracao[[#This Row],[SALDO MÊS (h:mm)]]</f>
        <v>0</v>
      </c>
      <c r="P241" s="24"/>
      <c r="Q241" s="24"/>
      <c r="R241" s="24"/>
      <c r="S241" s="24" t="str">
        <f>TblApuracao[[#This Row],[COLABORADOR]]&amp;TblApuracao[[#This Row],[COMPETÊNCIA]]</f>
        <v/>
      </c>
      <c r="T241" s="24">
        <f>ROW(TblApuracao[[#Headers],[COMPETÊNCIA]])</f>
        <v>2</v>
      </c>
      <c r="U241" s="24" t="str">
        <f>TblApuracao[[#This Row],[COLABORADOR]]&amp;TblApuracao[[#This Row],[COMPETÊNCIA]]</f>
        <v/>
      </c>
      <c r="V241" s="24" t="str">
        <f>INDEX(TblApuracao[COMPETÊNCIA],1)</f>
        <v>2026-03</v>
      </c>
      <c r="W241" s="25">
        <f>SUMPRODUCT((TblApuracao[COLABORADOR]="Emanuelly Ribeiro de Aguiar")*(TblApuracao[COMPETÊNCIA]&lt;="2025-09")*(TblApuracao[SALDO MÊS (h:mm)]&gt;0)*TblApuracao[SALDO MÊS (h:mm)])</f>
        <v>0.6875</v>
      </c>
    </row>
    <row r="242" spans="1:23" ht="15" customHeight="1" x14ac:dyDescent="0.25">
      <c r="A242" s="18">
        <f t="shared" si="3"/>
        <v>240</v>
      </c>
      <c r="B242" s="34"/>
      <c r="C242" s="19" t="str">
        <f>IFERROR(
  INDEX(TblCadastro[SETOR],
    MATCH(TblApuracao[[#This Row],[COLABORADOR]],TblCadastro[NOME COMPLETO],0)
  ),
  "Não cadastrado"
)</f>
        <v>Não cadastrado</v>
      </c>
      <c r="D242" s="34"/>
      <c r="E24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2" s="18" t="str">
        <f>IFERROR(
  INDEX(TblCadastro[JORNADA ATUAL (h/dia)],
    MATCH(TblApuracao[[#This Row],[COLABORADOR]],TblCadastro[NOME COMPLETO],0)
  ),
  ""
)</f>
        <v/>
      </c>
      <c r="G242" s="18" t="str">
        <f>IFERROR(
  INDEX(TblCadastro[TRABALHA SÁB?],
    MATCH(TblApuracao[[#This Row],[COLABORADOR]],TblCadastro[NOME COMPLETO],0)
  ),
  ""
)</f>
        <v/>
      </c>
      <c r="H24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2" s="34"/>
      <c r="J242" s="34"/>
      <c r="K242" s="34"/>
      <c r="L242" s="21">
        <f>TblApuracao[[#This Row],[HRS EXTRAS (h:mm)]]-TblApuracao[[#This Row],[FALTAS/ATRASOS (h:mm)]]+TblApuracao[[#This Row],[AJUSTE MANUAL (h:mm)]]</f>
        <v>0</v>
      </c>
      <c r="M242" s="21">
        <f>SUMPRODUCT((TblApuracao[COLABORADOR]=TblApuracao[[#This Row],[COLABORADOR]])*(TblApuracao[COMPETÊNCIA]&lt;=TblApuracao[[#This Row],[COMPETÊNCIA]])*TblApuracao[HRS EXTRAS (h:mm)])</f>
        <v>0</v>
      </c>
      <c r="N242" s="21">
        <f>SUMPRODUCT((TblApuracao[COLABORADOR]=TblApuracao[[#This Row],[COLABORADOR]])*(TblApuracao[COMPETÊNCIA]&lt;=TblApuracao[[#This Row],[COMPETÊNCIA]])*TblApuracao[FALTAS/ATRASOS (h:mm)])</f>
        <v>0</v>
      </c>
      <c r="O242" s="21">
        <f>TblApuracao[[#This Row],[SALDO ANT. (h:mm)]]+TblApuracao[[#This Row],[SALDO MÊS (h:mm)]]</f>
        <v>0</v>
      </c>
      <c r="P242" s="24"/>
      <c r="Q242" s="24"/>
      <c r="R242" s="24"/>
      <c r="S242" s="24" t="str">
        <f>TblApuracao[[#This Row],[COLABORADOR]]&amp;TblApuracao[[#This Row],[COMPETÊNCIA]]</f>
        <v/>
      </c>
      <c r="T242" s="24">
        <f>ROW(TblApuracao[[#Headers],[COMPETÊNCIA]])</f>
        <v>2</v>
      </c>
      <c r="U242" s="24" t="str">
        <f>TblApuracao[[#This Row],[COLABORADOR]]&amp;TblApuracao[[#This Row],[COMPETÊNCIA]]</f>
        <v/>
      </c>
      <c r="V242" s="24" t="str">
        <f>INDEX(TblApuracao[COMPETÊNCIA],1)</f>
        <v>2026-03</v>
      </c>
      <c r="W242" s="25">
        <f>SUMPRODUCT((TblApuracao[COLABORADOR]="Emanuelly Ribeiro de Aguiar")*(TblApuracao[COMPETÊNCIA]&lt;="2025-09")*(TblApuracao[SALDO MÊS (h:mm)]&gt;0)*TblApuracao[SALDO MÊS (h:mm)])</f>
        <v>0.6875</v>
      </c>
    </row>
    <row r="243" spans="1:23" ht="15" customHeight="1" x14ac:dyDescent="0.25">
      <c r="A243" s="18">
        <f t="shared" si="3"/>
        <v>241</v>
      </c>
      <c r="B243" s="34"/>
      <c r="C243" s="19" t="str">
        <f>IFERROR(
  INDEX(TblCadastro[SETOR],
    MATCH(TblApuracao[[#This Row],[COLABORADOR]],TblCadastro[NOME COMPLETO],0)
  ),
  "Não cadastrado"
)</f>
        <v>Não cadastrado</v>
      </c>
      <c r="D243" s="34"/>
      <c r="E24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3" s="18" t="str">
        <f>IFERROR(
  INDEX(TblCadastro[JORNADA ATUAL (h/dia)],
    MATCH(TblApuracao[[#This Row],[COLABORADOR]],TblCadastro[NOME COMPLETO],0)
  ),
  ""
)</f>
        <v/>
      </c>
      <c r="G243" s="18" t="str">
        <f>IFERROR(
  INDEX(TblCadastro[TRABALHA SÁB?],
    MATCH(TblApuracao[[#This Row],[COLABORADOR]],TblCadastro[NOME COMPLETO],0)
  ),
  ""
)</f>
        <v/>
      </c>
      <c r="H24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3" s="34"/>
      <c r="J243" s="34"/>
      <c r="K243" s="34"/>
      <c r="L243" s="21">
        <f>TblApuracao[[#This Row],[HRS EXTRAS (h:mm)]]-TblApuracao[[#This Row],[FALTAS/ATRASOS (h:mm)]]+TblApuracao[[#This Row],[AJUSTE MANUAL (h:mm)]]</f>
        <v>0</v>
      </c>
      <c r="M243" s="21">
        <f>SUMPRODUCT((TblApuracao[COLABORADOR]=TblApuracao[[#This Row],[COLABORADOR]])*(TblApuracao[COMPETÊNCIA]&lt;=TblApuracao[[#This Row],[COMPETÊNCIA]])*TblApuracao[HRS EXTRAS (h:mm)])</f>
        <v>0</v>
      </c>
      <c r="N243" s="21">
        <f>SUMPRODUCT((TblApuracao[COLABORADOR]=TblApuracao[[#This Row],[COLABORADOR]])*(TblApuracao[COMPETÊNCIA]&lt;=TblApuracao[[#This Row],[COMPETÊNCIA]])*TblApuracao[FALTAS/ATRASOS (h:mm)])</f>
        <v>0</v>
      </c>
      <c r="O243" s="21">
        <f>TblApuracao[[#This Row],[SALDO ANT. (h:mm)]]+TblApuracao[[#This Row],[SALDO MÊS (h:mm)]]</f>
        <v>0</v>
      </c>
      <c r="P243" s="24"/>
      <c r="Q243" s="24"/>
      <c r="R243" s="24"/>
      <c r="S243" s="24" t="str">
        <f>TblApuracao[[#This Row],[COLABORADOR]]&amp;TblApuracao[[#This Row],[COMPETÊNCIA]]</f>
        <v/>
      </c>
      <c r="T243" s="24">
        <f>ROW(TblApuracao[[#Headers],[COMPETÊNCIA]])</f>
        <v>2</v>
      </c>
      <c r="U243" s="24" t="str">
        <f>TblApuracao[[#This Row],[COLABORADOR]]&amp;TblApuracao[[#This Row],[COMPETÊNCIA]]</f>
        <v/>
      </c>
      <c r="V243" s="24" t="str">
        <f>INDEX(TblApuracao[COMPETÊNCIA],1)</f>
        <v>2026-03</v>
      </c>
      <c r="W243" s="25">
        <f>SUMPRODUCT((TblApuracao[COLABORADOR]="Emanuelly Ribeiro de Aguiar")*(TblApuracao[COMPETÊNCIA]&lt;="2025-09")*(TblApuracao[SALDO MÊS (h:mm)]&gt;0)*TblApuracao[SALDO MÊS (h:mm)])</f>
        <v>0.6875</v>
      </c>
    </row>
    <row r="244" spans="1:23" ht="15" customHeight="1" x14ac:dyDescent="0.25">
      <c r="A244" s="18">
        <f t="shared" si="3"/>
        <v>242</v>
      </c>
      <c r="B244" s="34"/>
      <c r="C244" s="19" t="str">
        <f>IFERROR(
  INDEX(TblCadastro[SETOR],
    MATCH(TblApuracao[[#This Row],[COLABORADOR]],TblCadastro[NOME COMPLETO],0)
  ),
  "Não cadastrado"
)</f>
        <v>Não cadastrado</v>
      </c>
      <c r="D244" s="34"/>
      <c r="E24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4" s="18" t="str">
        <f>IFERROR(
  INDEX(TblCadastro[JORNADA ATUAL (h/dia)],
    MATCH(TblApuracao[[#This Row],[COLABORADOR]],TblCadastro[NOME COMPLETO],0)
  ),
  ""
)</f>
        <v/>
      </c>
      <c r="G244" s="18" t="str">
        <f>IFERROR(
  INDEX(TblCadastro[TRABALHA SÁB?],
    MATCH(TblApuracao[[#This Row],[COLABORADOR]],TblCadastro[NOME COMPLETO],0)
  ),
  ""
)</f>
        <v/>
      </c>
      <c r="H24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4" s="34"/>
      <c r="J244" s="34"/>
      <c r="K244" s="34"/>
      <c r="L244" s="21">
        <f>TblApuracao[[#This Row],[HRS EXTRAS (h:mm)]]-TblApuracao[[#This Row],[FALTAS/ATRASOS (h:mm)]]+TblApuracao[[#This Row],[AJUSTE MANUAL (h:mm)]]</f>
        <v>0</v>
      </c>
      <c r="M244" s="21">
        <f>SUMPRODUCT((TblApuracao[COLABORADOR]=TblApuracao[[#This Row],[COLABORADOR]])*(TblApuracao[COMPETÊNCIA]&lt;=TblApuracao[[#This Row],[COMPETÊNCIA]])*TblApuracao[HRS EXTRAS (h:mm)])</f>
        <v>0</v>
      </c>
      <c r="N244" s="21">
        <f>SUMPRODUCT((TblApuracao[COLABORADOR]=TblApuracao[[#This Row],[COLABORADOR]])*(TblApuracao[COMPETÊNCIA]&lt;=TblApuracao[[#This Row],[COMPETÊNCIA]])*TblApuracao[FALTAS/ATRASOS (h:mm)])</f>
        <v>0</v>
      </c>
      <c r="O244" s="21">
        <f>TblApuracao[[#This Row],[SALDO ANT. (h:mm)]]+TblApuracao[[#This Row],[SALDO MÊS (h:mm)]]</f>
        <v>0</v>
      </c>
      <c r="P244" s="24"/>
      <c r="Q244" s="24"/>
      <c r="R244" s="24"/>
      <c r="S244" s="24" t="str">
        <f>TblApuracao[[#This Row],[COLABORADOR]]&amp;TblApuracao[[#This Row],[COMPETÊNCIA]]</f>
        <v/>
      </c>
      <c r="T244" s="24">
        <f>ROW(TblApuracao[[#Headers],[COMPETÊNCIA]])</f>
        <v>2</v>
      </c>
      <c r="U244" s="24" t="str">
        <f>TblApuracao[[#This Row],[COLABORADOR]]&amp;TblApuracao[[#This Row],[COMPETÊNCIA]]</f>
        <v/>
      </c>
      <c r="V244" s="24" t="str">
        <f>INDEX(TblApuracao[COMPETÊNCIA],1)</f>
        <v>2026-03</v>
      </c>
      <c r="W244" s="25">
        <f>SUMPRODUCT((TblApuracao[COLABORADOR]="Emanuelly Ribeiro de Aguiar")*(TblApuracao[COMPETÊNCIA]&lt;="2025-09")*(TblApuracao[SALDO MÊS (h:mm)]&gt;0)*TblApuracao[SALDO MÊS (h:mm)])</f>
        <v>0.6875</v>
      </c>
    </row>
    <row r="245" spans="1:23" ht="15" customHeight="1" x14ac:dyDescent="0.25">
      <c r="A245" s="18">
        <f t="shared" si="3"/>
        <v>243</v>
      </c>
      <c r="B245" s="34"/>
      <c r="C245" s="19" t="str">
        <f>IFERROR(
  INDEX(TblCadastro[SETOR],
    MATCH(TblApuracao[[#This Row],[COLABORADOR]],TblCadastro[NOME COMPLETO],0)
  ),
  "Não cadastrado"
)</f>
        <v>Não cadastrado</v>
      </c>
      <c r="D245" s="34"/>
      <c r="E24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5" s="18" t="str">
        <f>IFERROR(
  INDEX(TblCadastro[JORNADA ATUAL (h/dia)],
    MATCH(TblApuracao[[#This Row],[COLABORADOR]],TblCadastro[NOME COMPLETO],0)
  ),
  ""
)</f>
        <v/>
      </c>
      <c r="G245" s="18" t="str">
        <f>IFERROR(
  INDEX(TblCadastro[TRABALHA SÁB?],
    MATCH(TblApuracao[[#This Row],[COLABORADOR]],TblCadastro[NOME COMPLETO],0)
  ),
  ""
)</f>
        <v/>
      </c>
      <c r="H24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5" s="34"/>
      <c r="J245" s="34"/>
      <c r="K245" s="34"/>
      <c r="L245" s="21">
        <f>TblApuracao[[#This Row],[HRS EXTRAS (h:mm)]]-TblApuracao[[#This Row],[FALTAS/ATRASOS (h:mm)]]+TblApuracao[[#This Row],[AJUSTE MANUAL (h:mm)]]</f>
        <v>0</v>
      </c>
      <c r="M245" s="21">
        <f>SUMPRODUCT((TblApuracao[COLABORADOR]=TblApuracao[[#This Row],[COLABORADOR]])*(TblApuracao[COMPETÊNCIA]&lt;=TblApuracao[[#This Row],[COMPETÊNCIA]])*TblApuracao[HRS EXTRAS (h:mm)])</f>
        <v>0</v>
      </c>
      <c r="N245" s="21">
        <f>SUMPRODUCT((TblApuracao[COLABORADOR]=TblApuracao[[#This Row],[COLABORADOR]])*(TblApuracao[COMPETÊNCIA]&lt;=TblApuracao[[#This Row],[COMPETÊNCIA]])*TblApuracao[FALTAS/ATRASOS (h:mm)])</f>
        <v>0</v>
      </c>
      <c r="O245" s="21">
        <f>TblApuracao[[#This Row],[SALDO ANT. (h:mm)]]+TblApuracao[[#This Row],[SALDO MÊS (h:mm)]]</f>
        <v>0</v>
      </c>
      <c r="P245" s="24"/>
      <c r="Q245" s="24"/>
      <c r="R245" s="24"/>
      <c r="S245" s="24" t="str">
        <f>TblApuracao[[#This Row],[COLABORADOR]]&amp;TblApuracao[[#This Row],[COMPETÊNCIA]]</f>
        <v/>
      </c>
      <c r="T245" s="24">
        <f>ROW(TblApuracao[[#Headers],[COMPETÊNCIA]])</f>
        <v>2</v>
      </c>
      <c r="U245" s="24" t="str">
        <f>TblApuracao[[#This Row],[COLABORADOR]]&amp;TblApuracao[[#This Row],[COMPETÊNCIA]]</f>
        <v/>
      </c>
      <c r="V245" s="24" t="str">
        <f>INDEX(TblApuracao[COMPETÊNCIA],1)</f>
        <v>2026-03</v>
      </c>
      <c r="W245" s="25">
        <f>SUMPRODUCT((TblApuracao[COLABORADOR]="Emanuelly Ribeiro de Aguiar")*(TblApuracao[COMPETÊNCIA]&lt;="2025-09")*(TblApuracao[SALDO MÊS (h:mm)]&gt;0)*TblApuracao[SALDO MÊS (h:mm)])</f>
        <v>0.6875</v>
      </c>
    </row>
    <row r="246" spans="1:23" ht="15" customHeight="1" x14ac:dyDescent="0.25">
      <c r="A246" s="18">
        <f t="shared" si="3"/>
        <v>244</v>
      </c>
      <c r="B246" s="34"/>
      <c r="C246" s="19" t="str">
        <f>IFERROR(
  INDEX(TblCadastro[SETOR],
    MATCH(TblApuracao[[#This Row],[COLABORADOR]],TblCadastro[NOME COMPLETO],0)
  ),
  "Não cadastrado"
)</f>
        <v>Não cadastrado</v>
      </c>
      <c r="D246" s="34"/>
      <c r="E24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6" s="18" t="str">
        <f>IFERROR(
  INDEX(TblCadastro[JORNADA ATUAL (h/dia)],
    MATCH(TblApuracao[[#This Row],[COLABORADOR]],TblCadastro[NOME COMPLETO],0)
  ),
  ""
)</f>
        <v/>
      </c>
      <c r="G246" s="18" t="str">
        <f>IFERROR(
  INDEX(TblCadastro[TRABALHA SÁB?],
    MATCH(TblApuracao[[#This Row],[COLABORADOR]],TblCadastro[NOME COMPLETO],0)
  ),
  ""
)</f>
        <v/>
      </c>
      <c r="H24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6" s="34"/>
      <c r="J246" s="34"/>
      <c r="K246" s="34"/>
      <c r="L246" s="21">
        <f>TblApuracao[[#This Row],[HRS EXTRAS (h:mm)]]-TblApuracao[[#This Row],[FALTAS/ATRASOS (h:mm)]]+TblApuracao[[#This Row],[AJUSTE MANUAL (h:mm)]]</f>
        <v>0</v>
      </c>
      <c r="M246" s="21">
        <f>SUMPRODUCT((TblApuracao[COLABORADOR]=TblApuracao[[#This Row],[COLABORADOR]])*(TblApuracao[COMPETÊNCIA]&lt;=TblApuracao[[#This Row],[COMPETÊNCIA]])*TblApuracao[HRS EXTRAS (h:mm)])</f>
        <v>0</v>
      </c>
      <c r="N246" s="21">
        <f>SUMPRODUCT((TblApuracao[COLABORADOR]=TblApuracao[[#This Row],[COLABORADOR]])*(TblApuracao[COMPETÊNCIA]&lt;=TblApuracao[[#This Row],[COMPETÊNCIA]])*TblApuracao[FALTAS/ATRASOS (h:mm)])</f>
        <v>0</v>
      </c>
      <c r="O246" s="21">
        <f>TblApuracao[[#This Row],[SALDO ANT. (h:mm)]]+TblApuracao[[#This Row],[SALDO MÊS (h:mm)]]</f>
        <v>0</v>
      </c>
      <c r="P246" s="24"/>
      <c r="Q246" s="24"/>
      <c r="R246" s="24"/>
      <c r="S246" s="24" t="str">
        <f>TblApuracao[[#This Row],[COLABORADOR]]&amp;TblApuracao[[#This Row],[COMPETÊNCIA]]</f>
        <v/>
      </c>
      <c r="T246" s="24">
        <f>ROW(TblApuracao[[#Headers],[COMPETÊNCIA]])</f>
        <v>2</v>
      </c>
      <c r="U246" s="24" t="str">
        <f>TblApuracao[[#This Row],[COLABORADOR]]&amp;TblApuracao[[#This Row],[COMPETÊNCIA]]</f>
        <v/>
      </c>
      <c r="V246" s="24" t="str">
        <f>INDEX(TblApuracao[COMPETÊNCIA],1)</f>
        <v>2026-03</v>
      </c>
      <c r="W246" s="25">
        <f>SUMPRODUCT((TblApuracao[COLABORADOR]="Emanuelly Ribeiro de Aguiar")*(TblApuracao[COMPETÊNCIA]&lt;="2025-09")*(TblApuracao[SALDO MÊS (h:mm)]&gt;0)*TblApuracao[SALDO MÊS (h:mm)])</f>
        <v>0.6875</v>
      </c>
    </row>
    <row r="247" spans="1:23" ht="15" customHeight="1" x14ac:dyDescent="0.25">
      <c r="A247" s="18">
        <f t="shared" si="3"/>
        <v>245</v>
      </c>
      <c r="B247" s="34"/>
      <c r="C247" s="19" t="str">
        <f>IFERROR(
  INDEX(TblCadastro[SETOR],
    MATCH(TblApuracao[[#This Row],[COLABORADOR]],TblCadastro[NOME COMPLETO],0)
  ),
  "Não cadastrado"
)</f>
        <v>Não cadastrado</v>
      </c>
      <c r="D247" s="34"/>
      <c r="E24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7" s="18" t="str">
        <f>IFERROR(
  INDEX(TblCadastro[JORNADA ATUAL (h/dia)],
    MATCH(TblApuracao[[#This Row],[COLABORADOR]],TblCadastro[NOME COMPLETO],0)
  ),
  ""
)</f>
        <v/>
      </c>
      <c r="G247" s="18" t="str">
        <f>IFERROR(
  INDEX(TblCadastro[TRABALHA SÁB?],
    MATCH(TblApuracao[[#This Row],[COLABORADOR]],TblCadastro[NOME COMPLETO],0)
  ),
  ""
)</f>
        <v/>
      </c>
      <c r="H24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7" s="34"/>
      <c r="J247" s="34"/>
      <c r="K247" s="34"/>
      <c r="L247" s="21">
        <f>TblApuracao[[#This Row],[HRS EXTRAS (h:mm)]]-TblApuracao[[#This Row],[FALTAS/ATRASOS (h:mm)]]+TblApuracao[[#This Row],[AJUSTE MANUAL (h:mm)]]</f>
        <v>0</v>
      </c>
      <c r="M247" s="21">
        <f>SUMPRODUCT((TblApuracao[COLABORADOR]=TblApuracao[[#This Row],[COLABORADOR]])*(TblApuracao[COMPETÊNCIA]&lt;=TblApuracao[[#This Row],[COMPETÊNCIA]])*TblApuracao[HRS EXTRAS (h:mm)])</f>
        <v>0</v>
      </c>
      <c r="N247" s="21">
        <f>SUMPRODUCT((TblApuracao[COLABORADOR]=TblApuracao[[#This Row],[COLABORADOR]])*(TblApuracao[COMPETÊNCIA]&lt;=TblApuracao[[#This Row],[COMPETÊNCIA]])*TblApuracao[FALTAS/ATRASOS (h:mm)])</f>
        <v>0</v>
      </c>
      <c r="O247" s="21">
        <f>TblApuracao[[#This Row],[SALDO ANT. (h:mm)]]+TblApuracao[[#This Row],[SALDO MÊS (h:mm)]]</f>
        <v>0</v>
      </c>
      <c r="P247" s="24"/>
      <c r="Q247" s="24"/>
      <c r="R247" s="24"/>
      <c r="S247" s="24" t="str">
        <f>TblApuracao[[#This Row],[COLABORADOR]]&amp;TblApuracao[[#This Row],[COMPETÊNCIA]]</f>
        <v/>
      </c>
      <c r="T247" s="24">
        <f>ROW(TblApuracao[[#Headers],[COMPETÊNCIA]])</f>
        <v>2</v>
      </c>
      <c r="U247" s="24" t="str">
        <f>TblApuracao[[#This Row],[COLABORADOR]]&amp;TblApuracao[[#This Row],[COMPETÊNCIA]]</f>
        <v/>
      </c>
      <c r="V247" s="24" t="str">
        <f>INDEX(TblApuracao[COMPETÊNCIA],1)</f>
        <v>2026-03</v>
      </c>
      <c r="W247" s="25">
        <f>SUMPRODUCT((TblApuracao[COLABORADOR]="Emanuelly Ribeiro de Aguiar")*(TblApuracao[COMPETÊNCIA]&lt;="2025-09")*(TblApuracao[SALDO MÊS (h:mm)]&gt;0)*TblApuracao[SALDO MÊS (h:mm)])</f>
        <v>0.6875</v>
      </c>
    </row>
    <row r="248" spans="1:23" ht="15" customHeight="1" x14ac:dyDescent="0.25">
      <c r="A248" s="18">
        <f t="shared" si="3"/>
        <v>246</v>
      </c>
      <c r="B248" s="34"/>
      <c r="C248" s="19" t="str">
        <f>IFERROR(
  INDEX(TblCadastro[SETOR],
    MATCH(TblApuracao[[#This Row],[COLABORADOR]],TblCadastro[NOME COMPLETO],0)
  ),
  "Não cadastrado"
)</f>
        <v>Não cadastrado</v>
      </c>
      <c r="D248" s="34"/>
      <c r="E248"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8" s="18" t="str">
        <f>IFERROR(
  INDEX(TblCadastro[JORNADA ATUAL (h/dia)],
    MATCH(TblApuracao[[#This Row],[COLABORADOR]],TblCadastro[NOME COMPLETO],0)
  ),
  ""
)</f>
        <v/>
      </c>
      <c r="G248" s="18" t="str">
        <f>IFERROR(
  INDEX(TblCadastro[TRABALHA SÁB?],
    MATCH(TblApuracao[[#This Row],[COLABORADOR]],TblCadastro[NOME COMPLETO],0)
  ),
  ""
)</f>
        <v/>
      </c>
      <c r="H248"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8" s="34"/>
      <c r="J248" s="34"/>
      <c r="K248" s="34"/>
      <c r="L248" s="21">
        <f>TblApuracao[[#This Row],[HRS EXTRAS (h:mm)]]-TblApuracao[[#This Row],[FALTAS/ATRASOS (h:mm)]]+TblApuracao[[#This Row],[AJUSTE MANUAL (h:mm)]]</f>
        <v>0</v>
      </c>
      <c r="M248" s="21">
        <f>SUMPRODUCT((TblApuracao[COLABORADOR]=TblApuracao[[#This Row],[COLABORADOR]])*(TblApuracao[COMPETÊNCIA]&lt;=TblApuracao[[#This Row],[COMPETÊNCIA]])*TblApuracao[HRS EXTRAS (h:mm)])</f>
        <v>0</v>
      </c>
      <c r="N248" s="21">
        <f>SUMPRODUCT((TblApuracao[COLABORADOR]=TblApuracao[[#This Row],[COLABORADOR]])*(TblApuracao[COMPETÊNCIA]&lt;=TblApuracao[[#This Row],[COMPETÊNCIA]])*TblApuracao[FALTAS/ATRASOS (h:mm)])</f>
        <v>0</v>
      </c>
      <c r="O248" s="21">
        <f>TblApuracao[[#This Row],[SALDO ANT. (h:mm)]]+TblApuracao[[#This Row],[SALDO MÊS (h:mm)]]</f>
        <v>0</v>
      </c>
      <c r="P248" s="24"/>
      <c r="Q248" s="24"/>
      <c r="R248" s="24"/>
      <c r="S248" s="24" t="str">
        <f>TblApuracao[[#This Row],[COLABORADOR]]&amp;TblApuracao[[#This Row],[COMPETÊNCIA]]</f>
        <v/>
      </c>
      <c r="T248" s="24">
        <f>ROW(TblApuracao[[#Headers],[COMPETÊNCIA]])</f>
        <v>2</v>
      </c>
      <c r="U248" s="24" t="str">
        <f>TblApuracao[[#This Row],[COLABORADOR]]&amp;TblApuracao[[#This Row],[COMPETÊNCIA]]</f>
        <v/>
      </c>
      <c r="V248" s="24" t="str">
        <f>INDEX(TblApuracao[COMPETÊNCIA],1)</f>
        <v>2026-03</v>
      </c>
      <c r="W248" s="25">
        <f>SUMPRODUCT((TblApuracao[COLABORADOR]="Emanuelly Ribeiro de Aguiar")*(TblApuracao[COMPETÊNCIA]&lt;="2025-09")*(TblApuracao[SALDO MÊS (h:mm)]&gt;0)*TblApuracao[SALDO MÊS (h:mm)])</f>
        <v>0.6875</v>
      </c>
    </row>
    <row r="249" spans="1:23" ht="15" customHeight="1" x14ac:dyDescent="0.25">
      <c r="A249" s="18">
        <f t="shared" si="3"/>
        <v>247</v>
      </c>
      <c r="B249" s="34"/>
      <c r="C249" s="19" t="str">
        <f>IFERROR(
  INDEX(TblCadastro[SETOR],
    MATCH(TblApuracao[[#This Row],[COLABORADOR]],TblCadastro[NOME COMPLETO],0)
  ),
  "Não cadastrado"
)</f>
        <v>Não cadastrado</v>
      </c>
      <c r="D249" s="34"/>
      <c r="E249"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9" s="18" t="str">
        <f>IFERROR(
  INDEX(TblCadastro[JORNADA ATUAL (h/dia)],
    MATCH(TblApuracao[[#This Row],[COLABORADOR]],TblCadastro[NOME COMPLETO],0)
  ),
  ""
)</f>
        <v/>
      </c>
      <c r="G249" s="18" t="str">
        <f>IFERROR(
  INDEX(TblCadastro[TRABALHA SÁB?],
    MATCH(TblApuracao[[#This Row],[COLABORADOR]],TblCadastro[NOME COMPLETO],0)
  ),
  ""
)</f>
        <v/>
      </c>
      <c r="H249"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9" s="34"/>
      <c r="J249" s="34"/>
      <c r="K249" s="34"/>
      <c r="L249" s="21">
        <f>TblApuracao[[#This Row],[HRS EXTRAS (h:mm)]]-TblApuracao[[#This Row],[FALTAS/ATRASOS (h:mm)]]+TblApuracao[[#This Row],[AJUSTE MANUAL (h:mm)]]</f>
        <v>0</v>
      </c>
      <c r="M249" s="21">
        <f>SUMPRODUCT((TblApuracao[COLABORADOR]=TblApuracao[[#This Row],[COLABORADOR]])*(TblApuracao[COMPETÊNCIA]&lt;=TblApuracao[[#This Row],[COMPETÊNCIA]])*TblApuracao[HRS EXTRAS (h:mm)])</f>
        <v>0</v>
      </c>
      <c r="N249" s="21">
        <f>SUMPRODUCT((TblApuracao[COLABORADOR]=TblApuracao[[#This Row],[COLABORADOR]])*(TblApuracao[COMPETÊNCIA]&lt;=TblApuracao[[#This Row],[COMPETÊNCIA]])*TblApuracao[FALTAS/ATRASOS (h:mm)])</f>
        <v>0</v>
      </c>
      <c r="O249" s="21">
        <f>TblApuracao[[#This Row],[SALDO ANT. (h:mm)]]+TblApuracao[[#This Row],[SALDO MÊS (h:mm)]]</f>
        <v>0</v>
      </c>
      <c r="P249" s="24"/>
      <c r="Q249" s="24"/>
      <c r="R249" s="24"/>
      <c r="S249" s="24" t="str">
        <f>TblApuracao[[#This Row],[COLABORADOR]]&amp;TblApuracao[[#This Row],[COMPETÊNCIA]]</f>
        <v/>
      </c>
      <c r="T249" s="24">
        <f>ROW(TblApuracao[[#Headers],[COMPETÊNCIA]])</f>
        <v>2</v>
      </c>
      <c r="U249" s="24" t="str">
        <f>TblApuracao[[#This Row],[COLABORADOR]]&amp;TblApuracao[[#This Row],[COMPETÊNCIA]]</f>
        <v/>
      </c>
      <c r="V249" s="24" t="str">
        <f>INDEX(TblApuracao[COMPETÊNCIA],1)</f>
        <v>2026-03</v>
      </c>
      <c r="W249" s="25">
        <f>SUMPRODUCT((TblApuracao[COLABORADOR]="Emanuelly Ribeiro de Aguiar")*(TblApuracao[COMPETÊNCIA]&lt;="2025-09")*(TblApuracao[SALDO MÊS (h:mm)]&gt;0)*TblApuracao[SALDO MÊS (h:mm)])</f>
        <v>0.6875</v>
      </c>
    </row>
    <row r="250" spans="1:23" ht="15" customHeight="1" x14ac:dyDescent="0.25">
      <c r="A250" s="18">
        <f t="shared" si="3"/>
        <v>248</v>
      </c>
      <c r="B250" s="34"/>
      <c r="C250" s="19" t="str">
        <f>IFERROR(
  INDEX(TblCadastro[SETOR],
    MATCH(TblApuracao[[#This Row],[COLABORADOR]],TblCadastro[NOME COMPLETO],0)
  ),
  "Não cadastrado"
)</f>
        <v>Não cadastrado</v>
      </c>
      <c r="D250" s="34"/>
      <c r="E250"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0" s="18" t="str">
        <f>IFERROR(
  INDEX(TblCadastro[JORNADA ATUAL (h/dia)],
    MATCH(TblApuracao[[#This Row],[COLABORADOR]],TblCadastro[NOME COMPLETO],0)
  ),
  ""
)</f>
        <v/>
      </c>
      <c r="G250" s="18" t="str">
        <f>IFERROR(
  INDEX(TblCadastro[TRABALHA SÁB?],
    MATCH(TblApuracao[[#This Row],[COLABORADOR]],TblCadastro[NOME COMPLETO],0)
  ),
  ""
)</f>
        <v/>
      </c>
      <c r="H250"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0" s="34"/>
      <c r="J250" s="34"/>
      <c r="K250" s="34"/>
      <c r="L250" s="21">
        <f>TblApuracao[[#This Row],[HRS EXTRAS (h:mm)]]-TblApuracao[[#This Row],[FALTAS/ATRASOS (h:mm)]]+TblApuracao[[#This Row],[AJUSTE MANUAL (h:mm)]]</f>
        <v>0</v>
      </c>
      <c r="M250" s="21">
        <f>SUMPRODUCT((TblApuracao[COLABORADOR]=TblApuracao[[#This Row],[COLABORADOR]])*(TblApuracao[COMPETÊNCIA]&lt;=TblApuracao[[#This Row],[COMPETÊNCIA]])*TblApuracao[HRS EXTRAS (h:mm)])</f>
        <v>0</v>
      </c>
      <c r="N250" s="21">
        <f>SUMPRODUCT((TblApuracao[COLABORADOR]=TblApuracao[[#This Row],[COLABORADOR]])*(TblApuracao[COMPETÊNCIA]&lt;=TblApuracao[[#This Row],[COMPETÊNCIA]])*TblApuracao[FALTAS/ATRASOS (h:mm)])</f>
        <v>0</v>
      </c>
      <c r="O250" s="21">
        <f>TblApuracao[[#This Row],[SALDO ANT. (h:mm)]]+TblApuracao[[#This Row],[SALDO MÊS (h:mm)]]</f>
        <v>0</v>
      </c>
      <c r="P250" s="24"/>
      <c r="Q250" s="24"/>
      <c r="R250" s="24"/>
      <c r="S250" s="24" t="str">
        <f>TblApuracao[[#This Row],[COLABORADOR]]&amp;TblApuracao[[#This Row],[COMPETÊNCIA]]</f>
        <v/>
      </c>
      <c r="T250" s="24">
        <f>ROW(TblApuracao[[#Headers],[COMPETÊNCIA]])</f>
        <v>2</v>
      </c>
      <c r="U250" s="24" t="str">
        <f>TblApuracao[[#This Row],[COLABORADOR]]&amp;TblApuracao[[#This Row],[COMPETÊNCIA]]</f>
        <v/>
      </c>
      <c r="V250" s="24" t="str">
        <f>INDEX(TblApuracao[COMPETÊNCIA],1)</f>
        <v>2026-03</v>
      </c>
      <c r="W250" s="25">
        <f>SUMPRODUCT((TblApuracao[COLABORADOR]="Emanuelly Ribeiro de Aguiar")*(TblApuracao[COMPETÊNCIA]&lt;="2025-09")*(TblApuracao[SALDO MÊS (h:mm)]&gt;0)*TblApuracao[SALDO MÊS (h:mm)])</f>
        <v>0.6875</v>
      </c>
    </row>
    <row r="251" spans="1:23" ht="15" customHeight="1" x14ac:dyDescent="0.25">
      <c r="A251" s="18">
        <f t="shared" si="3"/>
        <v>249</v>
      </c>
      <c r="B251" s="34"/>
      <c r="C251" s="19" t="str">
        <f>IFERROR(
  INDEX(TblCadastro[SETOR],
    MATCH(TblApuracao[[#This Row],[COLABORADOR]],TblCadastro[NOME COMPLETO],0)
  ),
  "Não cadastrado"
)</f>
        <v>Não cadastrado</v>
      </c>
      <c r="D251" s="34"/>
      <c r="E251"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1" s="18" t="str">
        <f>IFERROR(
  INDEX(TblCadastro[JORNADA ATUAL (h/dia)],
    MATCH(TblApuracao[[#This Row],[COLABORADOR]],TblCadastro[NOME COMPLETO],0)
  ),
  ""
)</f>
        <v/>
      </c>
      <c r="G251" s="18" t="str">
        <f>IFERROR(
  INDEX(TblCadastro[TRABALHA SÁB?],
    MATCH(TblApuracao[[#This Row],[COLABORADOR]],TblCadastro[NOME COMPLETO],0)
  ),
  ""
)</f>
        <v/>
      </c>
      <c r="H251"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1" s="34"/>
      <c r="J251" s="34"/>
      <c r="K251" s="34"/>
      <c r="L251" s="21">
        <f>TblApuracao[[#This Row],[HRS EXTRAS (h:mm)]]-TblApuracao[[#This Row],[FALTAS/ATRASOS (h:mm)]]+TblApuracao[[#This Row],[AJUSTE MANUAL (h:mm)]]</f>
        <v>0</v>
      </c>
      <c r="M251" s="21">
        <f>SUMPRODUCT((TblApuracao[COLABORADOR]=TblApuracao[[#This Row],[COLABORADOR]])*(TblApuracao[COMPETÊNCIA]&lt;=TblApuracao[[#This Row],[COMPETÊNCIA]])*TblApuracao[HRS EXTRAS (h:mm)])</f>
        <v>0</v>
      </c>
      <c r="N251" s="21">
        <f>SUMPRODUCT((TblApuracao[COLABORADOR]=TblApuracao[[#This Row],[COLABORADOR]])*(TblApuracao[COMPETÊNCIA]&lt;=TblApuracao[[#This Row],[COMPETÊNCIA]])*TblApuracao[FALTAS/ATRASOS (h:mm)])</f>
        <v>0</v>
      </c>
      <c r="O251" s="21">
        <f>TblApuracao[[#This Row],[SALDO ANT. (h:mm)]]+TblApuracao[[#This Row],[SALDO MÊS (h:mm)]]</f>
        <v>0</v>
      </c>
      <c r="P251" s="24"/>
      <c r="Q251" s="24"/>
      <c r="R251" s="24"/>
      <c r="S251" s="24" t="str">
        <f>TblApuracao[[#This Row],[COLABORADOR]]&amp;TblApuracao[[#This Row],[COMPETÊNCIA]]</f>
        <v/>
      </c>
      <c r="T251" s="24">
        <f>ROW(TblApuracao[[#Headers],[COMPETÊNCIA]])</f>
        <v>2</v>
      </c>
      <c r="U251" s="24" t="str">
        <f>TblApuracao[[#This Row],[COLABORADOR]]&amp;TblApuracao[[#This Row],[COMPETÊNCIA]]</f>
        <v/>
      </c>
      <c r="V251" s="24" t="str">
        <f>INDEX(TblApuracao[COMPETÊNCIA],1)</f>
        <v>2026-03</v>
      </c>
      <c r="W251" s="25">
        <f>SUMPRODUCT((TblApuracao[COLABORADOR]="Emanuelly Ribeiro de Aguiar")*(TblApuracao[COMPETÊNCIA]&lt;="2025-09")*(TblApuracao[SALDO MÊS (h:mm)]&gt;0)*TblApuracao[SALDO MÊS (h:mm)])</f>
        <v>0.6875</v>
      </c>
    </row>
    <row r="252" spans="1:23" ht="15" customHeight="1" x14ac:dyDescent="0.25">
      <c r="A252" s="18">
        <f t="shared" si="3"/>
        <v>250</v>
      </c>
      <c r="B252" s="34"/>
      <c r="C252" s="19" t="str">
        <f>IFERROR(
  INDEX(TblCadastro[SETOR],
    MATCH(TblApuracao[[#This Row],[COLABORADOR]],TblCadastro[NOME COMPLETO],0)
  ),
  "Não cadastrado"
)</f>
        <v>Não cadastrado</v>
      </c>
      <c r="D252" s="34"/>
      <c r="E252"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2" s="18" t="str">
        <f>IFERROR(
  INDEX(TblCadastro[JORNADA ATUAL (h/dia)],
    MATCH(TblApuracao[[#This Row],[COLABORADOR]],TblCadastro[NOME COMPLETO],0)
  ),
  ""
)</f>
        <v/>
      </c>
      <c r="G252" s="18" t="str">
        <f>IFERROR(
  INDEX(TblCadastro[TRABALHA SÁB?],
    MATCH(TblApuracao[[#This Row],[COLABORADOR]],TblCadastro[NOME COMPLETO],0)
  ),
  ""
)</f>
        <v/>
      </c>
      <c r="H252"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2" s="34"/>
      <c r="J252" s="34"/>
      <c r="K252" s="34"/>
      <c r="L252" s="21">
        <f>TblApuracao[[#This Row],[HRS EXTRAS (h:mm)]]-TblApuracao[[#This Row],[FALTAS/ATRASOS (h:mm)]]+TblApuracao[[#This Row],[AJUSTE MANUAL (h:mm)]]</f>
        <v>0</v>
      </c>
      <c r="M252" s="21">
        <f>SUMPRODUCT((TblApuracao[COLABORADOR]=TblApuracao[[#This Row],[COLABORADOR]])*(TblApuracao[COMPETÊNCIA]&lt;=TblApuracao[[#This Row],[COMPETÊNCIA]])*TblApuracao[HRS EXTRAS (h:mm)])</f>
        <v>0</v>
      </c>
      <c r="N252" s="21">
        <f>SUMPRODUCT((TblApuracao[COLABORADOR]=TblApuracao[[#This Row],[COLABORADOR]])*(TblApuracao[COMPETÊNCIA]&lt;=TblApuracao[[#This Row],[COMPETÊNCIA]])*TblApuracao[FALTAS/ATRASOS (h:mm)])</f>
        <v>0</v>
      </c>
      <c r="O252" s="21">
        <f>TblApuracao[[#This Row],[SALDO ANT. (h:mm)]]+TblApuracao[[#This Row],[SALDO MÊS (h:mm)]]</f>
        <v>0</v>
      </c>
      <c r="P252" s="24"/>
      <c r="Q252" s="24"/>
      <c r="R252" s="24"/>
      <c r="S252" s="24" t="str">
        <f>TblApuracao[[#This Row],[COLABORADOR]]&amp;TblApuracao[[#This Row],[COMPETÊNCIA]]</f>
        <v/>
      </c>
      <c r="T252" s="24">
        <f>ROW(TblApuracao[[#Headers],[COMPETÊNCIA]])</f>
        <v>2</v>
      </c>
      <c r="U252" s="24" t="str">
        <f>TblApuracao[[#This Row],[COLABORADOR]]&amp;TblApuracao[[#This Row],[COMPETÊNCIA]]</f>
        <v/>
      </c>
      <c r="V252" s="24" t="str">
        <f>INDEX(TblApuracao[COMPETÊNCIA],1)</f>
        <v>2026-03</v>
      </c>
      <c r="W252" s="25">
        <f>SUMPRODUCT((TblApuracao[COLABORADOR]="Emanuelly Ribeiro de Aguiar")*(TblApuracao[COMPETÊNCIA]&lt;="2025-09")*(TblApuracao[SALDO MÊS (h:mm)]&gt;0)*TblApuracao[SALDO MÊS (h:mm)])</f>
        <v>0.6875</v>
      </c>
    </row>
    <row r="253" spans="1:23" ht="15" customHeight="1" x14ac:dyDescent="0.25">
      <c r="A253" s="18">
        <f t="shared" si="3"/>
        <v>251</v>
      </c>
      <c r="B253" s="34"/>
      <c r="C253" s="19" t="str">
        <f>IFERROR(
  INDEX(TblCadastro[SETOR],
    MATCH(TblApuracao[[#This Row],[COLABORADOR]],TblCadastro[NOME COMPLETO],0)
  ),
  "Não cadastrado"
)</f>
        <v>Não cadastrado</v>
      </c>
      <c r="D253" s="34"/>
      <c r="E253"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3" s="18" t="str">
        <f>IFERROR(
  INDEX(TblCadastro[JORNADA ATUAL (h/dia)],
    MATCH(TblApuracao[[#This Row],[COLABORADOR]],TblCadastro[NOME COMPLETO],0)
  ),
  ""
)</f>
        <v/>
      </c>
      <c r="G253" s="18" t="str">
        <f>IFERROR(
  INDEX(TblCadastro[TRABALHA SÁB?],
    MATCH(TblApuracao[[#This Row],[COLABORADOR]],TblCadastro[NOME COMPLETO],0)
  ),
  ""
)</f>
        <v/>
      </c>
      <c r="H253"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3" s="34"/>
      <c r="J253" s="34"/>
      <c r="K253" s="34"/>
      <c r="L253" s="21">
        <f>TblApuracao[[#This Row],[HRS EXTRAS (h:mm)]]-TblApuracao[[#This Row],[FALTAS/ATRASOS (h:mm)]]+TblApuracao[[#This Row],[AJUSTE MANUAL (h:mm)]]</f>
        <v>0</v>
      </c>
      <c r="M253" s="21">
        <f>SUMPRODUCT((TblApuracao[COLABORADOR]=TblApuracao[[#This Row],[COLABORADOR]])*(TblApuracao[COMPETÊNCIA]&lt;=TblApuracao[[#This Row],[COMPETÊNCIA]])*TblApuracao[HRS EXTRAS (h:mm)])</f>
        <v>0</v>
      </c>
      <c r="N253" s="21">
        <f>SUMPRODUCT((TblApuracao[COLABORADOR]=TblApuracao[[#This Row],[COLABORADOR]])*(TblApuracao[COMPETÊNCIA]&lt;=TblApuracao[[#This Row],[COMPETÊNCIA]])*TblApuracao[FALTAS/ATRASOS (h:mm)])</f>
        <v>0</v>
      </c>
      <c r="O253" s="21">
        <f>TblApuracao[[#This Row],[SALDO ANT. (h:mm)]]+TblApuracao[[#This Row],[SALDO MÊS (h:mm)]]</f>
        <v>0</v>
      </c>
      <c r="P253" s="24"/>
      <c r="Q253" s="24"/>
      <c r="R253" s="24"/>
      <c r="S253" s="24" t="str">
        <f>TblApuracao[[#This Row],[COLABORADOR]]&amp;TblApuracao[[#This Row],[COMPETÊNCIA]]</f>
        <v/>
      </c>
      <c r="T253" s="24">
        <f>ROW(TblApuracao[[#Headers],[COMPETÊNCIA]])</f>
        <v>2</v>
      </c>
      <c r="U253" s="24" t="str">
        <f>TblApuracao[[#This Row],[COLABORADOR]]&amp;TblApuracao[[#This Row],[COMPETÊNCIA]]</f>
        <v/>
      </c>
      <c r="V253" s="24" t="str">
        <f>INDEX(TblApuracao[COMPETÊNCIA],1)</f>
        <v>2026-03</v>
      </c>
      <c r="W253" s="25">
        <f>SUMPRODUCT((TblApuracao[COLABORADOR]="Emanuelly Ribeiro de Aguiar")*(TblApuracao[COMPETÊNCIA]&lt;="2025-09")*(TblApuracao[SALDO MÊS (h:mm)]&gt;0)*TblApuracao[SALDO MÊS (h:mm)])</f>
        <v>0.6875</v>
      </c>
    </row>
    <row r="254" spans="1:23" ht="15" customHeight="1" x14ac:dyDescent="0.25">
      <c r="A254" s="18">
        <f t="shared" si="3"/>
        <v>252</v>
      </c>
      <c r="B254" s="34"/>
      <c r="C254" s="19" t="str">
        <f>IFERROR(
  INDEX(TblCadastro[SETOR],
    MATCH(TblApuracao[[#This Row],[COLABORADOR]],TblCadastro[NOME COMPLETO],0)
  ),
  "Não cadastrado"
)</f>
        <v>Não cadastrado</v>
      </c>
      <c r="D254" s="34"/>
      <c r="E254"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4" s="18" t="str">
        <f>IFERROR(
  INDEX(TblCadastro[JORNADA ATUAL (h/dia)],
    MATCH(TblApuracao[[#This Row],[COLABORADOR]],TblCadastro[NOME COMPLETO],0)
  ),
  ""
)</f>
        <v/>
      </c>
      <c r="G254" s="18" t="str">
        <f>IFERROR(
  INDEX(TblCadastro[TRABALHA SÁB?],
    MATCH(TblApuracao[[#This Row],[COLABORADOR]],TblCadastro[NOME COMPLETO],0)
  ),
  ""
)</f>
        <v/>
      </c>
      <c r="H254"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4" s="34"/>
      <c r="J254" s="34"/>
      <c r="K254" s="34"/>
      <c r="L254" s="21">
        <f>TblApuracao[[#This Row],[HRS EXTRAS (h:mm)]]-TblApuracao[[#This Row],[FALTAS/ATRASOS (h:mm)]]+TblApuracao[[#This Row],[AJUSTE MANUAL (h:mm)]]</f>
        <v>0</v>
      </c>
      <c r="M254" s="21">
        <f>SUMPRODUCT((TblApuracao[COLABORADOR]=TblApuracao[[#This Row],[COLABORADOR]])*(TblApuracao[COMPETÊNCIA]&lt;=TblApuracao[[#This Row],[COMPETÊNCIA]])*TblApuracao[HRS EXTRAS (h:mm)])</f>
        <v>0</v>
      </c>
      <c r="N254" s="21">
        <f>SUMPRODUCT((TblApuracao[COLABORADOR]=TblApuracao[[#This Row],[COLABORADOR]])*(TblApuracao[COMPETÊNCIA]&lt;=TblApuracao[[#This Row],[COMPETÊNCIA]])*TblApuracao[FALTAS/ATRASOS (h:mm)])</f>
        <v>0</v>
      </c>
      <c r="O254" s="21">
        <f>TblApuracao[[#This Row],[SALDO ANT. (h:mm)]]+TblApuracao[[#This Row],[SALDO MÊS (h:mm)]]</f>
        <v>0</v>
      </c>
      <c r="P254" s="24"/>
      <c r="Q254" s="24"/>
      <c r="R254" s="24"/>
      <c r="S254" s="24" t="str">
        <f>TblApuracao[[#This Row],[COLABORADOR]]&amp;TblApuracao[[#This Row],[COMPETÊNCIA]]</f>
        <v/>
      </c>
      <c r="T254" s="24">
        <f>ROW(TblApuracao[[#Headers],[COMPETÊNCIA]])</f>
        <v>2</v>
      </c>
      <c r="U254" s="24" t="str">
        <f>TblApuracao[[#This Row],[COLABORADOR]]&amp;TblApuracao[[#This Row],[COMPETÊNCIA]]</f>
        <v/>
      </c>
      <c r="V254" s="24" t="str">
        <f>INDEX(TblApuracao[COMPETÊNCIA],1)</f>
        <v>2026-03</v>
      </c>
      <c r="W254" s="25">
        <f>SUMPRODUCT((TblApuracao[COLABORADOR]="Emanuelly Ribeiro de Aguiar")*(TblApuracao[COMPETÊNCIA]&lt;="2025-09")*(TblApuracao[SALDO MÊS (h:mm)]&gt;0)*TblApuracao[SALDO MÊS (h:mm)])</f>
        <v>0.6875</v>
      </c>
    </row>
    <row r="255" spans="1:23" ht="15" customHeight="1" x14ac:dyDescent="0.25">
      <c r="A255" s="18">
        <f t="shared" si="3"/>
        <v>253</v>
      </c>
      <c r="B255" s="34"/>
      <c r="C255" s="19" t="str">
        <f>IFERROR(
  INDEX(TblCadastro[SETOR],
    MATCH(TblApuracao[[#This Row],[COLABORADOR]],TblCadastro[NOME COMPLETO],0)
  ),
  "Não cadastrado"
)</f>
        <v>Não cadastrado</v>
      </c>
      <c r="D255" s="34"/>
      <c r="E255"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5" s="18" t="str">
        <f>IFERROR(
  INDEX(TblCadastro[JORNADA ATUAL (h/dia)],
    MATCH(TblApuracao[[#This Row],[COLABORADOR]],TblCadastro[NOME COMPLETO],0)
  ),
  ""
)</f>
        <v/>
      </c>
      <c r="G255" s="18" t="str">
        <f>IFERROR(
  INDEX(TblCadastro[TRABALHA SÁB?],
    MATCH(TblApuracao[[#This Row],[COLABORADOR]],TblCadastro[NOME COMPLETO],0)
  ),
  ""
)</f>
        <v/>
      </c>
      <c r="H255"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5" s="34"/>
      <c r="J255" s="34"/>
      <c r="K255" s="34"/>
      <c r="L255" s="21">
        <f>TblApuracao[[#This Row],[HRS EXTRAS (h:mm)]]-TblApuracao[[#This Row],[FALTAS/ATRASOS (h:mm)]]+TblApuracao[[#This Row],[AJUSTE MANUAL (h:mm)]]</f>
        <v>0</v>
      </c>
      <c r="M255" s="21">
        <f>SUMPRODUCT((TblApuracao[COLABORADOR]=TblApuracao[[#This Row],[COLABORADOR]])*(TblApuracao[COMPETÊNCIA]&lt;=TblApuracao[[#This Row],[COMPETÊNCIA]])*TblApuracao[HRS EXTRAS (h:mm)])</f>
        <v>0</v>
      </c>
      <c r="N255" s="21">
        <f>SUMPRODUCT((TblApuracao[COLABORADOR]=TblApuracao[[#This Row],[COLABORADOR]])*(TblApuracao[COMPETÊNCIA]&lt;=TblApuracao[[#This Row],[COMPETÊNCIA]])*TblApuracao[FALTAS/ATRASOS (h:mm)])</f>
        <v>0</v>
      </c>
      <c r="O255" s="21">
        <f>TblApuracao[[#This Row],[SALDO ANT. (h:mm)]]+TblApuracao[[#This Row],[SALDO MÊS (h:mm)]]</f>
        <v>0</v>
      </c>
      <c r="P255" s="24"/>
      <c r="Q255" s="24"/>
      <c r="R255" s="24"/>
      <c r="S255" s="24" t="str">
        <f>TblApuracao[[#This Row],[COLABORADOR]]&amp;TblApuracao[[#This Row],[COMPETÊNCIA]]</f>
        <v/>
      </c>
      <c r="T255" s="24">
        <f>ROW(TblApuracao[[#Headers],[COMPETÊNCIA]])</f>
        <v>2</v>
      </c>
      <c r="U255" s="24" t="str">
        <f>TblApuracao[[#This Row],[COLABORADOR]]&amp;TblApuracao[[#This Row],[COMPETÊNCIA]]</f>
        <v/>
      </c>
      <c r="V255" s="24" t="str">
        <f>INDEX(TblApuracao[COMPETÊNCIA],1)</f>
        <v>2026-03</v>
      </c>
      <c r="W255" s="25">
        <f>SUMPRODUCT((TblApuracao[COLABORADOR]="Emanuelly Ribeiro de Aguiar")*(TblApuracao[COMPETÊNCIA]&lt;="2025-09")*(TblApuracao[SALDO MÊS (h:mm)]&gt;0)*TblApuracao[SALDO MÊS (h:mm)])</f>
        <v>0.6875</v>
      </c>
    </row>
    <row r="256" spans="1:23" ht="15" customHeight="1" x14ac:dyDescent="0.25">
      <c r="A256" s="18">
        <f t="shared" si="3"/>
        <v>254</v>
      </c>
      <c r="B256" s="34"/>
      <c r="C256" s="19" t="str">
        <f>IFERROR(
  INDEX(TblCadastro[SETOR],
    MATCH(TblApuracao[[#This Row],[COLABORADOR]],TblCadastro[NOME COMPLETO],0)
  ),
  "Não cadastrado"
)</f>
        <v>Não cadastrado</v>
      </c>
      <c r="D256" s="34"/>
      <c r="E256"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6" s="18" t="str">
        <f>IFERROR(
  INDEX(TblCadastro[JORNADA ATUAL (h/dia)],
    MATCH(TblApuracao[[#This Row],[COLABORADOR]],TblCadastro[NOME COMPLETO],0)
  ),
  ""
)</f>
        <v/>
      </c>
      <c r="G256" s="18" t="str">
        <f>IFERROR(
  INDEX(TblCadastro[TRABALHA SÁB?],
    MATCH(TblApuracao[[#This Row],[COLABORADOR]],TblCadastro[NOME COMPLETO],0)
  ),
  ""
)</f>
        <v/>
      </c>
      <c r="H256"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6" s="34"/>
      <c r="J256" s="34"/>
      <c r="K256" s="34"/>
      <c r="L256" s="21">
        <f>TblApuracao[[#This Row],[HRS EXTRAS (h:mm)]]-TblApuracao[[#This Row],[FALTAS/ATRASOS (h:mm)]]+TblApuracao[[#This Row],[AJUSTE MANUAL (h:mm)]]</f>
        <v>0</v>
      </c>
      <c r="M256" s="21">
        <f>SUMPRODUCT((TblApuracao[COLABORADOR]=TblApuracao[[#This Row],[COLABORADOR]])*(TblApuracao[COMPETÊNCIA]&lt;=TblApuracao[[#This Row],[COMPETÊNCIA]])*TblApuracao[HRS EXTRAS (h:mm)])</f>
        <v>0</v>
      </c>
      <c r="N256" s="21">
        <f>SUMPRODUCT((TblApuracao[COLABORADOR]=TblApuracao[[#This Row],[COLABORADOR]])*(TblApuracao[COMPETÊNCIA]&lt;=TblApuracao[[#This Row],[COMPETÊNCIA]])*TblApuracao[FALTAS/ATRASOS (h:mm)])</f>
        <v>0</v>
      </c>
      <c r="O256" s="21">
        <f>TblApuracao[[#This Row],[SALDO ANT. (h:mm)]]+TblApuracao[[#This Row],[SALDO MÊS (h:mm)]]</f>
        <v>0</v>
      </c>
      <c r="P256" s="24"/>
      <c r="Q256" s="24"/>
      <c r="R256" s="24"/>
      <c r="S256" s="24" t="str">
        <f>TblApuracao[[#This Row],[COLABORADOR]]&amp;TblApuracao[[#This Row],[COMPETÊNCIA]]</f>
        <v/>
      </c>
      <c r="T256" s="24">
        <f>ROW(TblApuracao[[#Headers],[COMPETÊNCIA]])</f>
        <v>2</v>
      </c>
      <c r="U256" s="24" t="str">
        <f>TblApuracao[[#This Row],[COLABORADOR]]&amp;TblApuracao[[#This Row],[COMPETÊNCIA]]</f>
        <v/>
      </c>
      <c r="V256" s="24" t="str">
        <f>INDEX(TblApuracao[COMPETÊNCIA],1)</f>
        <v>2026-03</v>
      </c>
      <c r="W256" s="25">
        <f>SUMPRODUCT((TblApuracao[COLABORADOR]="Emanuelly Ribeiro de Aguiar")*(TblApuracao[COMPETÊNCIA]&lt;="2025-09")*(TblApuracao[SALDO MÊS (h:mm)]&gt;0)*TblApuracao[SALDO MÊS (h:mm)])</f>
        <v>0.6875</v>
      </c>
    </row>
    <row r="257" spans="1:23" ht="15" customHeight="1" x14ac:dyDescent="0.25">
      <c r="A257" s="18">
        <f t="shared" si="3"/>
        <v>255</v>
      </c>
      <c r="B257" s="34"/>
      <c r="C257" s="19" t="str">
        <f>IFERROR(
  INDEX(TblCadastro[SETOR],
    MATCH(TblApuracao[[#This Row],[COLABORADOR]],TblCadastro[NOME COMPLETO],0)
  ),
  "Não cadastrado"
)</f>
        <v>Não cadastrado</v>
      </c>
      <c r="D257" s="34"/>
      <c r="E257" s="18">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7" s="18" t="str">
        <f>IFERROR(
  INDEX(TblCadastro[JORNADA ATUAL (h/dia)],
    MATCH(TblApuracao[[#This Row],[COLABORADOR]],TblCadastro[NOME COMPLETO],0)
  ),
  ""
)</f>
        <v/>
      </c>
      <c r="G257" s="18" t="str">
        <f>IFERROR(
  INDEX(TblCadastro[TRABALHA SÁB?],
    MATCH(TblApuracao[[#This Row],[COLABORADOR]],TblCadastro[NOME COMPLETO],0)
  ),
  ""
)</f>
        <v/>
      </c>
      <c r="H257" s="20">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7" s="34"/>
      <c r="J257" s="34"/>
      <c r="K257" s="34"/>
      <c r="L257" s="21">
        <f>TblApuracao[[#This Row],[HRS EXTRAS (h:mm)]]-TblApuracao[[#This Row],[FALTAS/ATRASOS (h:mm)]]+TblApuracao[[#This Row],[AJUSTE MANUAL (h:mm)]]</f>
        <v>0</v>
      </c>
      <c r="M257" s="21">
        <f>SUMPRODUCT((TblApuracao[COLABORADOR]=TblApuracao[[#This Row],[COLABORADOR]])*(TblApuracao[COMPETÊNCIA]&lt;=TblApuracao[[#This Row],[COMPETÊNCIA]])*TblApuracao[HRS EXTRAS (h:mm)])</f>
        <v>0</v>
      </c>
      <c r="N257" s="21">
        <f>SUMPRODUCT((TblApuracao[COLABORADOR]=TblApuracao[[#This Row],[COLABORADOR]])*(TblApuracao[COMPETÊNCIA]&lt;=TblApuracao[[#This Row],[COMPETÊNCIA]])*TblApuracao[FALTAS/ATRASOS (h:mm)])</f>
        <v>0</v>
      </c>
      <c r="O257" s="21">
        <f>TblApuracao[[#This Row],[SALDO ANT. (h:mm)]]+TblApuracao[[#This Row],[SALDO MÊS (h:mm)]]</f>
        <v>0</v>
      </c>
      <c r="P257" s="24"/>
      <c r="Q257" s="24"/>
      <c r="R257" s="24"/>
      <c r="S257" s="24" t="str">
        <f>TblApuracao[[#This Row],[COLABORADOR]]&amp;TblApuracao[[#This Row],[COMPETÊNCIA]]</f>
        <v/>
      </c>
      <c r="T257" s="24">
        <f>ROW(TblApuracao[[#Headers],[COMPETÊNCIA]])</f>
        <v>2</v>
      </c>
      <c r="U257" s="24" t="str">
        <f>TblApuracao[[#This Row],[COLABORADOR]]&amp;TblApuracao[[#This Row],[COMPETÊNCIA]]</f>
        <v/>
      </c>
      <c r="V257" s="24" t="str">
        <f>INDEX(TblApuracao[COMPETÊNCIA],1)</f>
        <v>2026-03</v>
      </c>
      <c r="W257" s="25">
        <f>SUMPRODUCT((TblApuracao[COLABORADOR]="Emanuelly Ribeiro de Aguiar")*(TblApuracao[COMPETÊNCIA]&lt;="2025-09")*(TblApuracao[SALDO MÊS (h:mm)]&gt;0)*TblApuracao[SALDO MÊS (h:mm)])</f>
        <v>0.6875</v>
      </c>
    </row>
    <row r="258" spans="1:23" ht="15" customHeight="1" x14ac:dyDescent="0.25">
      <c r="A258" s="18"/>
      <c r="B258" s="34"/>
      <c r="C258" s="19"/>
      <c r="D258" s="34"/>
      <c r="E258" s="18"/>
      <c r="F258" s="18"/>
      <c r="G258" s="18"/>
      <c r="H258" s="20"/>
      <c r="I258" s="34"/>
      <c r="J258" s="34"/>
      <c r="K258" s="34"/>
      <c r="L258" s="21"/>
      <c r="M258" s="21"/>
      <c r="N258" s="21"/>
      <c r="O258" s="21"/>
      <c r="P258" s="24"/>
      <c r="Q258" s="24"/>
      <c r="R258" s="24"/>
      <c r="S258" s="24"/>
      <c r="T258" s="24"/>
      <c r="U258" s="24"/>
      <c r="V258" s="24"/>
      <c r="W258" s="25"/>
    </row>
    <row r="259" spans="1:23" ht="15" customHeight="1" x14ac:dyDescent="0.25">
      <c r="A259" s="18"/>
      <c r="B259" s="34"/>
      <c r="C259" s="19"/>
      <c r="D259" s="34"/>
      <c r="E259" s="18"/>
      <c r="F259" s="18"/>
      <c r="G259" s="18"/>
      <c r="H259" s="20"/>
      <c r="I259" s="34"/>
      <c r="J259" s="34"/>
      <c r="K259" s="34"/>
      <c r="L259" s="21"/>
      <c r="M259" s="21"/>
      <c r="N259" s="21"/>
      <c r="O259" s="21"/>
      <c r="P259" s="24"/>
      <c r="Q259" s="24"/>
      <c r="R259" s="24"/>
      <c r="S259" s="24"/>
      <c r="T259" s="24"/>
      <c r="U259" s="24"/>
      <c r="V259" s="24"/>
      <c r="W259" s="25"/>
    </row>
    <row r="260" spans="1:23" ht="31.5" customHeight="1" x14ac:dyDescent="0.25">
      <c r="A260" s="35"/>
      <c r="B260" s="35"/>
      <c r="C260" s="36"/>
      <c r="D260" s="35"/>
      <c r="E260" s="37"/>
      <c r="F260" s="37"/>
      <c r="G260" s="37"/>
      <c r="H260" s="38"/>
      <c r="I260" s="35"/>
      <c r="J260" s="35"/>
      <c r="K260" s="35"/>
      <c r="L260" s="39"/>
      <c r="M260" s="39"/>
      <c r="N260" s="39"/>
      <c r="O260" s="39"/>
    </row>
    <row r="261" spans="1:23" ht="15" customHeight="1" x14ac:dyDescent="0.25">
      <c r="C261" s="40"/>
      <c r="E261" s="41"/>
      <c r="F261" s="41"/>
      <c r="G261" s="41"/>
      <c r="H261" s="42"/>
      <c r="L261" s="42"/>
      <c r="M261" s="42"/>
      <c r="N261" s="42"/>
      <c r="O261" s="42"/>
    </row>
    <row r="262" spans="1:23" ht="15" customHeight="1" x14ac:dyDescent="0.25">
      <c r="A262" s="13" t="s">
        <v>160</v>
      </c>
      <c r="B262" s="13"/>
      <c r="C262" s="13"/>
      <c r="D262" s="13"/>
      <c r="E262" s="13"/>
      <c r="F262" s="13"/>
      <c r="G262" s="13"/>
      <c r="H262" s="13"/>
      <c r="I262" s="13"/>
      <c r="J262" s="13"/>
      <c r="K262" s="13"/>
      <c r="L262" s="13"/>
      <c r="M262" s="13"/>
      <c r="N262" s="13"/>
      <c r="O262" s="13"/>
      <c r="P262" s="13"/>
      <c r="Q262" s="13"/>
      <c r="R262" s="13"/>
    </row>
  </sheetData>
  <mergeCells count="2">
    <mergeCell ref="A1:R1"/>
    <mergeCell ref="A262:R262"/>
  </mergeCells>
  <conditionalFormatting sqref="A3:W259">
    <cfRule type="expression" dxfId="11" priority="2">
      <formula>MOD(ROW(),2)=0</formula>
    </cfRule>
  </conditionalFormatting>
  <dataValidations count="2">
    <dataValidation type="list" allowBlank="1" showInputMessage="1" showErrorMessage="1" errorTitle="Nome inválido" error="Este nome não existe no Cadastro. Use a lista suspensa para selecionar um colaborador válido." promptTitle="Colaborador" prompt="Selecione o colaborador na lista. Somente nomes do Cadastro são permitidos." sqref="B3:B500" xr:uid="{00000000-0002-0000-0000-000000000000}">
      <formula1>Lista_Colaboradores</formula1>
      <formula2>0</formula2>
    </dataValidation>
    <dataValidation type="list" sqref="X3:X500" xr:uid="{00000000-0002-0000-0000-000001000000}">
      <formula1>"OCR Automático,Digitação Manual,Rodapé Lido,Calculado Retroativo"</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27AE60"/>
  </sheetPr>
  <dimension ref="A1:J200"/>
  <sheetViews>
    <sheetView zoomScaleNormal="100" workbookViewId="0">
      <selection activeCell="C13" sqref="C13"/>
    </sheetView>
  </sheetViews>
  <sheetFormatPr defaultColWidth="8.7109375" defaultRowHeight="15" x14ac:dyDescent="0.25"/>
  <cols>
    <col min="1" max="1" width="28" customWidth="1"/>
    <col min="2" max="2" width="22" customWidth="1"/>
    <col min="3" max="6" width="18" customWidth="1"/>
    <col min="7" max="7" width="16" customWidth="1"/>
    <col min="8" max="9" width="20" customWidth="1"/>
    <col min="10" max="10" width="22" customWidth="1"/>
  </cols>
  <sheetData>
    <row r="1" spans="1:10" ht="30" customHeight="1" x14ac:dyDescent="0.25">
      <c r="A1" s="14" t="s">
        <v>161</v>
      </c>
      <c r="B1" s="14"/>
      <c r="C1" s="14"/>
      <c r="D1" s="14"/>
      <c r="E1" s="14"/>
      <c r="F1" s="14"/>
      <c r="G1" s="14"/>
      <c r="H1" s="14"/>
      <c r="I1" s="14"/>
      <c r="J1" s="14"/>
    </row>
    <row r="2" spans="1:10" ht="27.75" customHeight="1" x14ac:dyDescent="0.25">
      <c r="A2" s="43" t="s">
        <v>2</v>
      </c>
      <c r="B2" s="43" t="s">
        <v>3</v>
      </c>
      <c r="C2" s="43" t="s">
        <v>162</v>
      </c>
      <c r="D2" s="43" t="s">
        <v>163</v>
      </c>
      <c r="E2" s="43" t="s">
        <v>164</v>
      </c>
      <c r="F2" s="43" t="s">
        <v>165</v>
      </c>
      <c r="G2" s="43" t="s">
        <v>166</v>
      </c>
      <c r="H2" s="44" t="s">
        <v>167</v>
      </c>
      <c r="I2" s="43" t="s">
        <v>168</v>
      </c>
      <c r="J2" s="43" t="s">
        <v>169</v>
      </c>
    </row>
    <row r="3" spans="1:10" ht="21.75" customHeight="1" x14ac:dyDescent="0.25">
      <c r="A3" s="45" t="s">
        <v>27</v>
      </c>
      <c r="B3" s="45" t="str">
        <f>IFERROR(INDEX(TblApuracao[SETOR],MATCH(TblResumo[[#This Row],[COLABORADOR]],TblApuracao[COLABORADOR],0)),"")</f>
        <v xml:space="preserve">Call Center </v>
      </c>
      <c r="C3" s="46">
        <f>IFERROR(INDEX(TblCadastro[JORNADA ATUAL (h/dia)],MATCH(TblResumo[[#This Row],[COLABORADOR]],TblCadastro[NOME COMPLETO],0)),"")</f>
        <v>8</v>
      </c>
      <c r="D3" s="47" t="str">
        <f>IFERROR(INDEX(TblApuracao[COMPETÊNCIA],MATCH(TblResumo[[#This Row],[COLABORADOR]],TblApuracao[COLABORADOR],0)),"")</f>
        <v>2026-03</v>
      </c>
      <c r="E3" s="48" t="str">
        <f>IFERROR(INDEX(TblApuracao[COMPETÊNCIA],SUMPRODUCT(MAX((TblApuracao[COLABORADOR]=$A3)*ROW(TblApuracao[COLABORADOR])))-ROW(TblApuracao[#Headers]),1),"")</f>
        <v>2026-03</v>
      </c>
      <c r="F3" s="46">
        <f>COUNTIF(TblApuracao[COLABORADOR],TblResumo[[#This Row],[COLABORADOR]])</f>
        <v>1</v>
      </c>
      <c r="G3" s="46">
        <f>COUNTIFS(TblApuracao[COLABORADOR],TblResumo[[#This Row],[COLABORADOR]],TblApuracao[SALDO MÊS (h:mm)],0)</f>
        <v>1</v>
      </c>
      <c r="H3" s="49">
        <f>IFERROR(LOOKUP(2,1/(TblApuracao[COLABORADOR]=TblResumo[[#This Row],[COLABORADOR]]),TblApuracao[SALDO ACUM. (+)]),0)</f>
        <v>0</v>
      </c>
      <c r="I3" s="49">
        <f>IFERROR(LOOKUP(2,1/(TblApuracao[COLABORADOR]=TblResumo[[#This Row],[COLABORADOR]]),TblApuracao[SALDO ACUM. (-)]),0)</f>
        <v>0</v>
      </c>
      <c r="J3" s="50">
        <f>IFERROR(LOOKUP(2,1/(TblApuracao[COLABORADOR]=TblResumo[[#This Row],[COLABORADOR]]),TblApuracao[SALDO LÍQUIDO (h:mm)]),0)</f>
        <v>0</v>
      </c>
    </row>
    <row r="4" spans="1:10" ht="21.75" customHeight="1" x14ac:dyDescent="0.25">
      <c r="A4" s="51" t="s">
        <v>33</v>
      </c>
      <c r="B4" s="45" t="str">
        <f>IFERROR(INDEX(TblApuracao[SETOR],MATCH(TblResumo[[#This Row],[COLABORADOR]],TblApuracao[COLABORADOR],0)),"")</f>
        <v>Call Center</v>
      </c>
      <c r="C4" s="46">
        <f>IFERROR(INDEX(TblCadastro[JORNADA ATUAL (h/dia)],MATCH(TblResumo[[#This Row],[COLABORADOR]],TblCadastro[NOME COMPLETO],0)),"")</f>
        <v>8</v>
      </c>
      <c r="D4" s="47" t="str">
        <f>IFERROR(INDEX(TblApuracao[COMPETÊNCIA],MATCH(TblResumo[[#This Row],[COLABORADOR]],TblApuracao[COLABORADOR],0)),"")</f>
        <v>2025-07</v>
      </c>
      <c r="E4" s="48" t="str">
        <f>IFERROR(INDEX(TblApuracao[COMPETÊNCIA],SUMPRODUCT(MAX((TblApuracao[COLABORADOR]=$A4)*ROW(TblApuracao[COLABORADOR])))-ROW(TblApuracao[#Headers]),1),"")</f>
        <v>2026-04</v>
      </c>
      <c r="F4" s="46">
        <f>COUNTIF(TblApuracao[COLABORADOR],TblResumo[[#This Row],[COLABORADOR]])</f>
        <v>10</v>
      </c>
      <c r="G4" s="46">
        <f>COUNTIFS(TblApuracao[COLABORADOR],TblResumo[[#This Row],[COLABORADOR]],TblApuracao[SALDO MÊS (h:mm)],0)</f>
        <v>7</v>
      </c>
      <c r="H4" s="49">
        <f>IFERROR(LOOKUP(2,1/(TblApuracao[COLABORADOR]=TblResumo[[#This Row],[COLABORADOR]]),TblApuracao[SALDO ACUM. (+)]),0)</f>
        <v>1.4402777777777778</v>
      </c>
      <c r="I4" s="49">
        <f>IFERROR(LOOKUP(2,1/(TblApuracao[COLABORADOR]=TblResumo[[#This Row],[COLABORADOR]]),TblApuracao[SALDO ACUM. (-)]),0)</f>
        <v>0.86527777777777781</v>
      </c>
      <c r="J4" s="50">
        <f>IFERROR(LOOKUP(2,1/(TblApuracao[COLABORADOR]=TblResumo[[#This Row],[COLABORADOR]]),TblApuracao[SALDO LÍQUIDO (h:mm)]),0)</f>
        <v>0.57499999999999996</v>
      </c>
    </row>
    <row r="5" spans="1:10" ht="21.75" customHeight="1" x14ac:dyDescent="0.25">
      <c r="A5" s="45" t="s">
        <v>69</v>
      </c>
      <c r="B5" s="45" t="str">
        <f>IFERROR(INDEX(TblApuracao[SETOR],MATCH(TblResumo[[#This Row],[COLABORADOR]],TblApuracao[COLABORADOR],0)),"")</f>
        <v>Call Center</v>
      </c>
      <c r="C5" s="46">
        <f>IFERROR(INDEX(TblCadastro[JORNADA ATUAL (h/dia)],MATCH(TblResumo[[#This Row],[COLABORADOR]],TblCadastro[NOME COMPLETO],0)),"")</f>
        <v>8</v>
      </c>
      <c r="D5" s="47" t="str">
        <f>IFERROR(INDEX(TblApuracao[COMPETÊNCIA],MATCH(TblResumo[[#This Row],[COLABORADOR]],TblApuracao[COLABORADOR],0)),"")</f>
        <v>2025-08</v>
      </c>
      <c r="E5" s="48" t="str">
        <f>IFERROR(INDEX(TblApuracao[COMPETÊNCIA],SUMPRODUCT(MAX((TblApuracao[COLABORADOR]=$A5)*ROW(TblApuracao[COLABORADOR])))-ROW(TblApuracao[#Headers]),1),"")</f>
        <v>2026-04/05</v>
      </c>
      <c r="F5" s="46">
        <f>COUNTIF(TblApuracao[COLABORADOR],TblResumo[[#This Row],[COLABORADOR]])</f>
        <v>3</v>
      </c>
      <c r="G5" s="46">
        <f>COUNTIFS(TblApuracao[COLABORADOR],TblResumo[[#This Row],[COLABORADOR]],TblApuracao[SALDO MÊS (h:mm)],0)</f>
        <v>1</v>
      </c>
      <c r="H5" s="49">
        <f>IFERROR(LOOKUP(2,1/(TblApuracao[COLABORADOR]=TblResumo[[#This Row],[COLABORADOR]]),TblApuracao[SALDO ACUM. (+)]),0)</f>
        <v>1.4305555555555554</v>
      </c>
      <c r="I5" s="49">
        <f>IFERROR(LOOKUP(2,1/(TblApuracao[COLABORADOR]=TblResumo[[#This Row],[COLABORADOR]]),TblApuracao[SALDO ACUM. (-)]),0)</f>
        <v>0</v>
      </c>
      <c r="J5" s="50">
        <f>IFERROR(LOOKUP(2,1/(TblApuracao[COLABORADOR]=TblResumo[[#This Row],[COLABORADOR]]),TblApuracao[SALDO LÍQUIDO (h:mm)]),0)</f>
        <v>0</v>
      </c>
    </row>
    <row r="6" spans="1:10" ht="21.75" customHeight="1" x14ac:dyDescent="0.25">
      <c r="A6" s="51" t="s">
        <v>80</v>
      </c>
      <c r="B6" s="45" t="str">
        <f>IFERROR(INDEX(TblApuracao[SETOR],MATCH(TblResumo[[#This Row],[COLABORADOR]],TblApuracao[COLABORADOR],0)),"")</f>
        <v>Call Center</v>
      </c>
      <c r="C6" s="46">
        <f>IFERROR(INDEX(TblCadastro[JORNADA ATUAL (h/dia)],MATCH(TblResumo[[#This Row],[COLABORADOR]],TblCadastro[NOME COMPLETO],0)),"")</f>
        <v>5</v>
      </c>
      <c r="D6" s="47" t="str">
        <f>IFERROR(INDEX(TblApuracao[COMPETÊNCIA],MATCH(TblResumo[[#This Row],[COLABORADOR]],TblApuracao[COLABORADOR],0)),"")</f>
        <v>2025-07</v>
      </c>
      <c r="E6" s="48" t="str">
        <f>IFERROR(INDEX(TblApuracao[COMPETÊNCIA],SUMPRODUCT(MAX((TblApuracao[COLABORADOR]=$A6)*ROW(TblApuracao[COLABORADOR])))-ROW(TblApuracao[#Headers]),1),"")</f>
        <v>2026-03</v>
      </c>
      <c r="F6" s="46">
        <f>COUNTIF(TblApuracao[COLABORADOR],TblResumo[[#This Row],[COLABORADOR]])</f>
        <v>9</v>
      </c>
      <c r="G6" s="46">
        <f>COUNTIFS(TblApuracao[COLABORADOR],TblResumo[[#This Row],[COLABORADOR]],TblApuracao[SALDO MÊS (h:mm)],0)</f>
        <v>4</v>
      </c>
      <c r="H6" s="49">
        <f>IFERROR(LOOKUP(2,1/(TblApuracao[COLABORADOR]=TblResumo[[#This Row],[COLABORADOR]]),TblApuracao[SALDO ACUM. (+)]),0)</f>
        <v>1.3736111111111111</v>
      </c>
      <c r="I6" s="49">
        <f>IFERROR(LOOKUP(2,1/(TblApuracao[COLABORADOR]=TblResumo[[#This Row],[COLABORADOR]]),TblApuracao[SALDO ACUM. (-)]),0)</f>
        <v>0.2361111111111111</v>
      </c>
      <c r="J6" s="50">
        <f>IFERROR(LOOKUP(2,1/(TblApuracao[COLABORADOR]=TblResumo[[#This Row],[COLABORADOR]]),TblApuracao[SALDO LÍQUIDO (h:mm)]),0)</f>
        <v>1.1375</v>
      </c>
    </row>
    <row r="7" spans="1:10" ht="21.75" customHeight="1" x14ac:dyDescent="0.25">
      <c r="A7" s="45" t="s">
        <v>107</v>
      </c>
      <c r="B7" s="45" t="str">
        <f>IFERROR(INDEX(TblApuracao[SETOR],MATCH(TblResumo[[#This Row],[COLABORADOR]],TblApuracao[COLABORADOR],0)),"")</f>
        <v>Call Center</v>
      </c>
      <c r="C7" s="46">
        <f>IFERROR(INDEX(TblCadastro[JORNADA ATUAL (h/dia)],MATCH(TblResumo[[#This Row],[COLABORADOR]],TblCadastro[NOME COMPLETO],0)),"")</f>
        <v>8</v>
      </c>
      <c r="D7" s="47" t="str">
        <f>IFERROR(INDEX(TblApuracao[COMPETÊNCIA],MATCH(TblResumo[[#This Row],[COLABORADOR]],TblApuracao[COLABORADOR],0)),"")</f>
        <v>2025-07</v>
      </c>
      <c r="E7" s="48" t="str">
        <f>IFERROR(INDEX(TblApuracao[COMPETÊNCIA],SUMPRODUCT(MAX((TblApuracao[COLABORADOR]=$A7)*ROW(TblApuracao[COLABORADOR])))-ROW(TblApuracao[#Headers]),1),"")</f>
        <v>2026-04</v>
      </c>
      <c r="F7" s="46">
        <f>COUNTIF(TblApuracao[COLABORADOR],TblResumo[[#This Row],[COLABORADOR]])</f>
        <v>10</v>
      </c>
      <c r="G7" s="46">
        <f>COUNTIFS(TblApuracao[COLABORADOR],TblResumo[[#This Row],[COLABORADOR]],TblApuracao[SALDO MÊS (h:mm)],0)</f>
        <v>5</v>
      </c>
      <c r="H7" s="49">
        <f>IFERROR(LOOKUP(2,1/(TblApuracao[COLABORADOR]=TblResumo[[#This Row],[COLABORADOR]]),TblApuracao[SALDO ACUM. (+)]),0)</f>
        <v>2.5611111111111109</v>
      </c>
      <c r="I7" s="49">
        <f>IFERROR(LOOKUP(2,1/(TblApuracao[COLABORADOR]=TblResumo[[#This Row],[COLABORADOR]]),TblApuracao[SALDO ACUM. (-)]),0)</f>
        <v>0.34722222222222221</v>
      </c>
      <c r="J7" s="50">
        <f>IFERROR(LOOKUP(2,1/(TblApuracao[COLABORADOR]=TblResumo[[#This Row],[COLABORADOR]]),TblApuracao[SALDO LÍQUIDO (h:mm)]),0)</f>
        <v>2.2138888888888886</v>
      </c>
    </row>
    <row r="8" spans="1:10" ht="21.75" customHeight="1" x14ac:dyDescent="0.25">
      <c r="A8" s="51" t="s">
        <v>134</v>
      </c>
      <c r="B8" s="45" t="str">
        <f>IFERROR(INDEX(TblApuracao[SETOR],MATCH(TblResumo[[#This Row],[COLABORADOR]],TblApuracao[COLABORADOR],0)),"")</f>
        <v>Call Center</v>
      </c>
      <c r="C8" s="46">
        <f>IFERROR(INDEX(TblCadastro[JORNADA ATUAL (h/dia)],MATCH(TblResumo[[#This Row],[COLABORADOR]],TblCadastro[NOME COMPLETO],0)),"")</f>
        <v>5</v>
      </c>
      <c r="D8" s="47" t="str">
        <f>IFERROR(INDEX(TblApuracao[COMPETÊNCIA],MATCH(TblResumo[[#This Row],[COLABORADOR]],TblApuracao[COLABORADOR],0)),"")</f>
        <v>2025-07</v>
      </c>
      <c r="E8" s="48" t="str">
        <f>IFERROR(INDEX(TblApuracao[COMPETÊNCIA],SUMPRODUCT(MAX((TblApuracao[COLABORADOR]=$A8)*ROW(TblApuracao[COLABORADOR])))-ROW(TblApuracao[#Headers]),1),"")</f>
        <v>2026-03</v>
      </c>
      <c r="F8" s="46">
        <f>COUNTIF(TblApuracao[COLABORADOR],TblResumo[[#This Row],[COLABORADOR]])</f>
        <v>9</v>
      </c>
      <c r="G8" s="46">
        <f>COUNTIFS(TblApuracao[COLABORADOR],TblResumo[[#This Row],[COLABORADOR]],TblApuracao[SALDO MÊS (h:mm)],0)</f>
        <v>4</v>
      </c>
      <c r="H8" s="49">
        <f>IFERROR(LOOKUP(2,1/(TblApuracao[COLABORADOR]=TblResumo[[#This Row],[COLABORADOR]]),TblApuracao[SALDO ACUM. (+)]),0)</f>
        <v>1.4625000000000001</v>
      </c>
      <c r="I8" s="49">
        <f>IFERROR(LOOKUP(2,1/(TblApuracao[COLABORADOR]=TblResumo[[#This Row],[COLABORADOR]]),TblApuracao[SALDO ACUM. (-)]),0)</f>
        <v>2.645833333333333</v>
      </c>
      <c r="J8" s="50">
        <f>IFERROR(LOOKUP(2,1/(TblApuracao[COLABORADOR]=TblResumo[[#This Row],[COLABORADOR]]),TblApuracao[SALDO LÍQUIDO (h:mm)]),0)</f>
        <v>-1.1833333333333331</v>
      </c>
    </row>
    <row r="9" spans="1:10" ht="15" customHeight="1" x14ac:dyDescent="0.25">
      <c r="A9" s="45" t="s">
        <v>170</v>
      </c>
      <c r="B9" s="45" t="str">
        <f>IFERROR(INDEX(TblApuracao[SETOR],MATCH(TblResumo[[#This Row],[COLABORADOR]],TblApuracao[COLABORADOR],0)),"")</f>
        <v/>
      </c>
      <c r="C9" s="46">
        <f>IFERROR(INDEX(TblCadastro[JORNADA ATUAL (h/dia)],MATCH(TblResumo[[#This Row],[COLABORADOR]],TblCadastro[NOME COMPLETO],0)),"")</f>
        <v>8</v>
      </c>
      <c r="D9" s="47" t="str">
        <f>IFERROR(INDEX(TblApuracao[COMPETÊNCIA],MATCH(TblResumo[[#This Row],[COLABORADOR]],TblApuracao[COLABORADOR],0)),"")</f>
        <v/>
      </c>
      <c r="E9" s="48" t="str">
        <f>IFERROR(INDEX(TblApuracao[COMPETÊNCIA],SUMPRODUCT(MAX((TblApuracao[COLABORADOR]=$A9)*ROW(TblApuracao[COLABORADOR])))-ROW(TblApuracao[#Headers]),1),"")</f>
        <v/>
      </c>
      <c r="F9" s="46">
        <f>COUNTIF(TblApuracao[COLABORADOR],TblResumo[[#This Row],[COLABORADOR]])</f>
        <v>0</v>
      </c>
      <c r="G9" s="46">
        <f>COUNTIFS(TblApuracao[COLABORADOR],TblResumo[[#This Row],[COLABORADOR]],TblApuracao[SALDO MÊS (h:mm)],0)</f>
        <v>0</v>
      </c>
      <c r="H9" s="49">
        <f>IFERROR(LOOKUP(2,1/(TblApuracao[COLABORADOR]=TblResumo[[#This Row],[COLABORADOR]]),TblApuracao[SALDO ACUM. (+)]),0)</f>
        <v>0</v>
      </c>
      <c r="I9" s="49">
        <f>IFERROR(LOOKUP(2,1/(TblApuracao[COLABORADOR]=TblResumo[[#This Row],[COLABORADOR]]),TblApuracao[SALDO ACUM. (-)]),0)</f>
        <v>0</v>
      </c>
      <c r="J9" s="50">
        <f>IFERROR(LOOKUP(2,1/(TblApuracao[COLABORADOR]=TblResumo[[#This Row],[COLABORADOR]]),TblApuracao[SALDO LÍQUIDO (h:mm)]),0)</f>
        <v>0</v>
      </c>
    </row>
    <row r="10" spans="1:10" ht="24" customHeight="1" x14ac:dyDescent="0.25">
      <c r="A10" s="45" t="s">
        <v>171</v>
      </c>
      <c r="B10" s="45" t="str">
        <f>IFERROR(INDEX(TblApuracao[SETOR],MATCH(TblResumo[[#This Row],[COLABORADOR]],TblApuracao[COLABORADOR],0)),"")</f>
        <v/>
      </c>
      <c r="C10" s="46">
        <f>IFERROR(INDEX(TblCadastro[JORNADA ATUAL (h/dia)],MATCH(TblResumo[[#This Row],[COLABORADOR]],TblCadastro[NOME COMPLETO],0)),"")</f>
        <v>8</v>
      </c>
      <c r="D10" s="47" t="str">
        <f>IFERROR(INDEX(TblApuracao[COMPETÊNCIA],MATCH(TblResumo[[#This Row],[COLABORADOR]],TblApuracao[COLABORADOR],0)),"")</f>
        <v/>
      </c>
      <c r="E10" s="48" t="str">
        <f>IFERROR(INDEX(TblApuracao[COMPETÊNCIA],SUMPRODUCT(MAX((TblApuracao[COLABORADOR]=$A10)*ROW(TblApuracao[COLABORADOR])))-ROW(TblApuracao[#Headers]),1),"")</f>
        <v/>
      </c>
      <c r="F10" s="46">
        <f>COUNTIF(TblApuracao[COLABORADOR],TblResumo[[#This Row],[COLABORADOR]])</f>
        <v>0</v>
      </c>
      <c r="G10" s="46">
        <f>COUNTIFS(TblApuracao[COLABORADOR],TblResumo[[#This Row],[COLABORADOR]],TblApuracao[SALDO MÊS (h:mm)],0)</f>
        <v>0</v>
      </c>
      <c r="H10" s="49">
        <f>IFERROR(LOOKUP(2,1/(TblApuracao[COLABORADOR]=TblResumo[[#This Row],[COLABORADOR]]),TblApuracao[SALDO ACUM. (+)]),0)</f>
        <v>0</v>
      </c>
      <c r="I10" s="49">
        <f>IFERROR(LOOKUP(2,1/(TblApuracao[COLABORADOR]=TblResumo[[#This Row],[COLABORADOR]]),TblApuracao[SALDO ACUM. (-)]),0)</f>
        <v>0</v>
      </c>
      <c r="J10" s="50">
        <f>IFERROR(LOOKUP(2,1/(TblApuracao[COLABORADOR]=TblResumo[[#This Row],[COLABORADOR]]),TblApuracao[SALDO LÍQUIDO (h:mm)]),0)</f>
        <v>0</v>
      </c>
    </row>
    <row r="11" spans="1:10" ht="15" customHeight="1" x14ac:dyDescent="0.25">
      <c r="A11" s="45" t="s">
        <v>172</v>
      </c>
      <c r="B11" s="45" t="str">
        <f>IFERROR(INDEX(TblApuracao[SETOR],MATCH(TblResumo[[#This Row],[COLABORADOR]],TblApuracao[COLABORADOR],0)),"")</f>
        <v/>
      </c>
      <c r="C11" s="46">
        <f>IFERROR(INDEX(TblCadastro[JORNADA ATUAL (h/dia)],MATCH(TblResumo[[#This Row],[COLABORADOR]],TblCadastro[NOME COMPLETO],0)),"")</f>
        <v>8</v>
      </c>
      <c r="D11" s="47" t="str">
        <f>IFERROR(INDEX(TblApuracao[COMPETÊNCIA],MATCH(TblResumo[[#This Row],[COLABORADOR]],TblApuracao[COLABORADOR],0)),"")</f>
        <v/>
      </c>
      <c r="E11" s="48" t="str">
        <f>IFERROR(INDEX(TblApuracao[COMPETÊNCIA],SUMPRODUCT(MAX((TblApuracao[COLABORADOR]=$A11)*ROW(TblApuracao[COLABORADOR])))-ROW(TblApuracao[#Headers]),1),"")</f>
        <v/>
      </c>
      <c r="F11" s="46">
        <f>COUNTIF(TblApuracao[COLABORADOR],TblResumo[[#This Row],[COLABORADOR]])</f>
        <v>0</v>
      </c>
      <c r="G11" s="46">
        <f>COUNTIFS(TblApuracao[COLABORADOR],TblResumo[[#This Row],[COLABORADOR]],TblApuracao[SALDO MÊS (h:mm)],0)</f>
        <v>0</v>
      </c>
      <c r="H11" s="49">
        <f>IFERROR(LOOKUP(2,1/(TblApuracao[COLABORADOR]=TblResumo[[#This Row],[COLABORADOR]]),TblApuracao[SALDO ACUM. (+)]),0)</f>
        <v>0</v>
      </c>
      <c r="I11" s="49">
        <f>IFERROR(LOOKUP(2,1/(TblApuracao[COLABORADOR]=TblResumo[[#This Row],[COLABORADOR]]),TblApuracao[SALDO ACUM. (-)]),0)</f>
        <v>0</v>
      </c>
      <c r="J11" s="50">
        <f>IFERROR(LOOKUP(2,1/(TblApuracao[COLABORADOR]=TblResumo[[#This Row],[COLABORADOR]]),TblApuracao[SALDO LÍQUIDO (h:mm)]),0)</f>
        <v>0</v>
      </c>
    </row>
    <row r="12" spans="1:10" ht="36" customHeight="1" x14ac:dyDescent="0.25">
      <c r="A12" s="45" t="s">
        <v>173</v>
      </c>
      <c r="B12" s="45" t="str">
        <f>IFERROR(INDEX(TblApuracao[SETOR],MATCH(TblResumo[[#This Row],[COLABORADOR]],TblApuracao[COLABORADOR],0)),"")</f>
        <v/>
      </c>
      <c r="C12" s="46">
        <f>IFERROR(INDEX(TblCadastro[JORNADA ATUAL (h/dia)],MATCH(TblResumo[[#This Row],[COLABORADOR]],TblCadastro[NOME COMPLETO],0)),"")</f>
        <v>8</v>
      </c>
      <c r="D12" s="47" t="str">
        <f>IFERROR(INDEX(TblApuracao[COMPETÊNCIA],MATCH(TblResumo[[#This Row],[COLABORADOR]],TblApuracao[COLABORADOR],0)),"")</f>
        <v/>
      </c>
      <c r="E12" s="48" t="str">
        <f>IFERROR(INDEX(TblApuracao[COMPETÊNCIA],SUMPRODUCT(MAX((TblApuracao[COLABORADOR]=$A12)*ROW(TblApuracao[COLABORADOR])))-ROW(TblApuracao[#Headers]),1),"")</f>
        <v/>
      </c>
      <c r="F12" s="46">
        <f>COUNTIF(TblApuracao[COLABORADOR],TblResumo[[#This Row],[COLABORADOR]])</f>
        <v>0</v>
      </c>
      <c r="G12" s="46">
        <f>COUNTIFS(TblApuracao[COLABORADOR],TblResumo[[#This Row],[COLABORADOR]],TblApuracao[SALDO MÊS (h:mm)],0)</f>
        <v>0</v>
      </c>
      <c r="H12" s="49">
        <f>IFERROR(LOOKUP(2,1/(TblApuracao[COLABORADOR]=TblResumo[[#This Row],[COLABORADOR]]),TblApuracao[SALDO ACUM. (+)]),0)</f>
        <v>0</v>
      </c>
      <c r="I12" s="49">
        <f>IFERROR(LOOKUP(2,1/(TblApuracao[COLABORADOR]=TblResumo[[#This Row],[COLABORADOR]]),TblApuracao[SALDO ACUM. (-)]),0)</f>
        <v>0</v>
      </c>
      <c r="J12" s="50">
        <f>IFERROR(LOOKUP(2,1/(TblApuracao[COLABORADOR]=TblResumo[[#This Row],[COLABORADOR]]),TblApuracao[SALDO LÍQUIDO (h:mm)]),0)</f>
        <v>0</v>
      </c>
    </row>
    <row r="13" spans="1:10" ht="15" customHeight="1" x14ac:dyDescent="0.25">
      <c r="A13" s="45" t="s">
        <v>174</v>
      </c>
      <c r="B13" s="45" t="str">
        <f>IFERROR(INDEX(TblApuracao[SETOR],MATCH(TblResumo[[#This Row],[COLABORADOR]],TblApuracao[COLABORADOR],0)),"")</f>
        <v/>
      </c>
      <c r="C13" s="46">
        <f>IFERROR(INDEX(TblCadastro[JORNADA ATUAL (h/dia)],MATCH(TblResumo[[#This Row],[COLABORADOR]],TblCadastro[NOME COMPLETO],0)),"")</f>
        <v>8</v>
      </c>
      <c r="D13" s="47" t="str">
        <f>IFERROR(INDEX(TblApuracao[COMPETÊNCIA],MATCH(TblResumo[[#This Row],[COLABORADOR]],TblApuracao[COLABORADOR],0)),"")</f>
        <v/>
      </c>
      <c r="E13" s="48" t="str">
        <f>IFERROR(INDEX(TblApuracao[COMPETÊNCIA],SUMPRODUCT(MAX((TblApuracao[COLABORADOR]=$A13)*ROW(TblApuracao[COLABORADOR])))-ROW(TblApuracao[#Headers]),1),"")</f>
        <v/>
      </c>
      <c r="F13" s="46">
        <f>COUNTIF(TblApuracao[COLABORADOR],TblResumo[[#This Row],[COLABORADOR]])</f>
        <v>0</v>
      </c>
      <c r="G13" s="46">
        <f>COUNTIFS(TblApuracao[COLABORADOR],TblResumo[[#This Row],[COLABORADOR]],TblApuracao[SALDO MÊS (h:mm)],0)</f>
        <v>0</v>
      </c>
      <c r="H13" s="49">
        <f>IFERROR(LOOKUP(2,1/(TblApuracao[COLABORADOR]=TblResumo[[#This Row],[COLABORADOR]]),TblApuracao[SALDO ACUM. (+)]),0)</f>
        <v>0</v>
      </c>
      <c r="I13" s="49">
        <f>IFERROR(LOOKUP(2,1/(TblApuracao[COLABORADOR]=TblResumo[[#This Row],[COLABORADOR]]),TblApuracao[SALDO ACUM. (-)]),0)</f>
        <v>0</v>
      </c>
      <c r="J13" s="50">
        <f>IFERROR(LOOKUP(2,1/(TblApuracao[COLABORADOR]=TblResumo[[#This Row],[COLABORADOR]]),TblApuracao[SALDO LÍQUIDO (h:mm)]),0)</f>
        <v>0</v>
      </c>
    </row>
    <row r="14" spans="1:10" ht="15.75" customHeight="1" x14ac:dyDescent="0.25">
      <c r="A14" t="s">
        <v>175</v>
      </c>
      <c r="B14" s="45" t="str">
        <f>IFERROR(INDEX(TblApuracao[SETOR],MATCH(TblResumo[[#This Row],[COLABORADOR]],TblApuracao[COLABORADOR],0)),"")</f>
        <v/>
      </c>
      <c r="C14" s="46">
        <f>IFERROR(INDEX(TblCadastro[JORNADA ATUAL (h/dia)],MATCH(TblResumo[[#This Row],[COLABORADOR]],TblCadastro[NOME COMPLETO],0)),"")</f>
        <v>8</v>
      </c>
      <c r="D14" s="47" t="str">
        <f>IFERROR(INDEX(TblApuracao[COMPETÊNCIA],MATCH(TblResumo[[#This Row],[COLABORADOR]],TblApuracao[COLABORADOR],0)),"")</f>
        <v/>
      </c>
      <c r="E14" s="48" t="str">
        <f>IFERROR(INDEX(TblApuracao[COMPETÊNCIA],SUMPRODUCT(MAX((TblApuracao[COLABORADOR]=$A14)*ROW(TblApuracao[COLABORADOR])))-ROW(TblApuracao[#Headers]),1),"")</f>
        <v/>
      </c>
      <c r="F14" s="46">
        <f>COUNTIF(TblApuracao[COLABORADOR],TblResumo[[#This Row],[COLABORADOR]])</f>
        <v>0</v>
      </c>
      <c r="G14" s="46">
        <f>COUNTIFS(TblApuracao[COLABORADOR],TblResumo[[#This Row],[COLABORADOR]],TblApuracao[SALDO MÊS (h:mm)],0)</f>
        <v>0</v>
      </c>
      <c r="H14" s="49">
        <f>IFERROR(LOOKUP(2,1/(TblApuracao[COLABORADOR]=TblResumo[[#This Row],[COLABORADOR]]),TblApuracao[SALDO ACUM. (+)]),0)</f>
        <v>0</v>
      </c>
      <c r="I14" s="49">
        <f>IFERROR(LOOKUP(2,1/(TblApuracao[COLABORADOR]=TblResumo[[#This Row],[COLABORADOR]]),TblApuracao[SALDO ACUM. (-)]),0)</f>
        <v>0</v>
      </c>
      <c r="J14" s="50">
        <f>IFERROR(LOOKUP(2,1/(TblApuracao[COLABORADOR]=TblResumo[[#This Row],[COLABORADOR]]),TblApuracao[SALDO LÍQUIDO (h:mm)]),0)</f>
        <v>0</v>
      </c>
    </row>
    <row r="15" spans="1:10" ht="15.75" customHeight="1" x14ac:dyDescent="0.25">
      <c r="A15" s="12" t="s">
        <v>176</v>
      </c>
      <c r="B15" s="12"/>
      <c r="C15" s="12"/>
      <c r="D15" s="12"/>
      <c r="E15" s="12"/>
      <c r="F15" s="12"/>
      <c r="G15" s="12"/>
      <c r="H15" s="52">
        <f>SUM(H3:H14)</f>
        <v>8.2680555555555557</v>
      </c>
      <c r="I15" s="53">
        <f>SUM(I3:I14)</f>
        <v>4.0944444444444441</v>
      </c>
      <c r="J15" s="52">
        <f>SUM(J3:J14)</f>
        <v>2.7430555555555554</v>
      </c>
    </row>
    <row r="16" spans="1:10" ht="15" customHeight="1" x14ac:dyDescent="0.25"/>
    <row r="17" spans="1:10" ht="15" customHeight="1" x14ac:dyDescent="0.25">
      <c r="A17" s="11" t="s">
        <v>177</v>
      </c>
      <c r="B17" s="11"/>
      <c r="C17" s="11"/>
      <c r="D17" s="11"/>
      <c r="E17" s="11"/>
      <c r="F17" s="11"/>
      <c r="G17" s="11"/>
      <c r="H17" s="11"/>
      <c r="I17" s="11"/>
      <c r="J17" s="11"/>
    </row>
    <row r="18" spans="1:10" ht="15" customHeight="1" x14ac:dyDescent="0.25"/>
    <row r="19" spans="1:10" ht="15" customHeight="1" x14ac:dyDescent="0.25"/>
    <row r="20" spans="1:10" ht="15" customHeight="1" x14ac:dyDescent="0.25"/>
    <row r="21" spans="1:10" ht="15" customHeight="1" x14ac:dyDescent="0.25"/>
    <row r="22" spans="1:10" ht="15" customHeight="1" x14ac:dyDescent="0.25"/>
    <row r="23" spans="1:10" ht="15" customHeight="1" x14ac:dyDescent="0.25"/>
    <row r="24" spans="1:10" ht="15" customHeight="1" x14ac:dyDescent="0.25"/>
    <row r="25" spans="1:10" ht="15" customHeight="1" x14ac:dyDescent="0.25"/>
    <row r="26" spans="1:10" ht="15" customHeight="1" x14ac:dyDescent="0.25"/>
    <row r="27" spans="1:10" ht="15" customHeight="1" x14ac:dyDescent="0.25"/>
    <row r="28" spans="1:10" ht="15" customHeight="1" x14ac:dyDescent="0.25"/>
    <row r="29" spans="1:10" ht="15" customHeight="1" x14ac:dyDescent="0.25"/>
    <row r="30" spans="1:10" ht="15" customHeight="1" x14ac:dyDescent="0.25"/>
    <row r="31" spans="1:10" ht="15" customHeight="1" x14ac:dyDescent="0.25"/>
    <row r="32" spans="1:10"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sheetData>
  <mergeCells count="3">
    <mergeCell ref="A1:J1"/>
    <mergeCell ref="A15:G15"/>
    <mergeCell ref="A17:J17"/>
  </mergeCells>
  <dataValidations count="1">
    <dataValidation type="list" allowBlank="1" showInputMessage="1" showErrorMessage="1" errorTitle="Nome inválido" error="Este nome não existe no Cadastro. Use a lista suspensa para selecionar um colaborador válido." promptTitle="Colaborador" prompt="Selecione o colaborador na lista. Somente nomes do Cadastro são permitidos." sqref="A3:A200" xr:uid="{00000000-0002-0000-0100-000000000000}">
      <formula1>Lista_Colaboradores</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2E7D9A"/>
  </sheetPr>
  <dimension ref="A1:P200"/>
  <sheetViews>
    <sheetView zoomScaleNormal="100" workbookViewId="0">
      <selection activeCell="A5" sqref="A5"/>
    </sheetView>
  </sheetViews>
  <sheetFormatPr defaultColWidth="8.7109375" defaultRowHeight="15" x14ac:dyDescent="0.25"/>
  <cols>
    <col min="1" max="1" width="5" customWidth="1"/>
    <col min="2" max="2" width="23.5703125" customWidth="1"/>
    <col min="3" max="3" width="10" customWidth="1"/>
    <col min="4" max="4" width="30.140625" customWidth="1"/>
    <col min="5" max="5" width="21.85546875" customWidth="1"/>
    <col min="6" max="6" width="24.7109375" customWidth="1"/>
    <col min="7" max="7" width="7.28515625" customWidth="1"/>
    <col min="8" max="8" width="19.5703125" customWidth="1"/>
    <col min="9" max="9" width="11.7109375" customWidth="1"/>
    <col min="10" max="10" width="16.7109375" customWidth="1"/>
    <col min="11" max="11" width="70.28515625" customWidth="1"/>
    <col min="12" max="13" width="18" customWidth="1"/>
    <col min="14" max="14" width="14" customWidth="1"/>
    <col min="15" max="15" width="10" customWidth="1"/>
    <col min="16" max="16" width="18" customWidth="1"/>
  </cols>
  <sheetData>
    <row r="1" spans="1:16" ht="30" customHeight="1" x14ac:dyDescent="0.25">
      <c r="A1" s="14" t="s">
        <v>178</v>
      </c>
      <c r="B1" s="14"/>
      <c r="C1" s="14"/>
      <c r="D1" s="14"/>
      <c r="E1" s="14"/>
      <c r="F1" s="14"/>
      <c r="G1" s="14"/>
      <c r="H1" s="14"/>
      <c r="I1" s="14"/>
      <c r="J1" s="14"/>
      <c r="K1" s="14"/>
    </row>
    <row r="2" spans="1:16" ht="27.75" customHeight="1" x14ac:dyDescent="0.25">
      <c r="A2" s="54" t="s">
        <v>1</v>
      </c>
      <c r="B2" s="54" t="s">
        <v>179</v>
      </c>
      <c r="C2" s="54" t="s">
        <v>3</v>
      </c>
      <c r="D2" s="54" t="s">
        <v>180</v>
      </c>
      <c r="E2" s="54" t="s">
        <v>181</v>
      </c>
      <c r="F2" s="54" t="s">
        <v>182</v>
      </c>
      <c r="G2" s="54" t="s">
        <v>183</v>
      </c>
      <c r="H2" s="54" t="s">
        <v>184</v>
      </c>
      <c r="I2" s="54" t="s">
        <v>185</v>
      </c>
      <c r="J2" s="54" t="s">
        <v>186</v>
      </c>
      <c r="K2" s="54" t="s">
        <v>187</v>
      </c>
      <c r="L2" s="17" t="s">
        <v>188</v>
      </c>
      <c r="M2" s="17" t="s">
        <v>189</v>
      </c>
      <c r="N2" s="17" t="s">
        <v>190</v>
      </c>
      <c r="O2" s="17" t="s">
        <v>191</v>
      </c>
      <c r="P2" s="17" t="s">
        <v>192</v>
      </c>
    </row>
    <row r="3" spans="1:16" ht="19.5" customHeight="1" x14ac:dyDescent="0.25">
      <c r="A3" s="55">
        <f t="shared" ref="A3:A14" si="0">ROW()-2</f>
        <v>1</v>
      </c>
      <c r="B3" s="56" t="s">
        <v>27</v>
      </c>
      <c r="C3" s="57" t="s">
        <v>193</v>
      </c>
      <c r="D3" s="56" t="s">
        <v>194</v>
      </c>
      <c r="E3" s="55" t="s">
        <v>195</v>
      </c>
      <c r="F3" s="55">
        <v>8</v>
      </c>
      <c r="G3" s="55" t="s">
        <v>196</v>
      </c>
      <c r="H3" s="55">
        <v>0</v>
      </c>
      <c r="I3" s="58" t="s">
        <v>197</v>
      </c>
      <c r="J3" s="59">
        <f>IFERROR(INDEX(#REF!,MATCH(TblCadastro[[#This Row],[NOME COMPLETO]],#REF!,0)),0)</f>
        <v>0</v>
      </c>
      <c r="K3" s="56" t="s">
        <v>198</v>
      </c>
      <c r="L3" t="s">
        <v>119</v>
      </c>
      <c r="M3" t="s">
        <v>199</v>
      </c>
      <c r="N3">
        <v>60</v>
      </c>
      <c r="O3" t="s">
        <v>200</v>
      </c>
    </row>
    <row r="4" spans="1:16" ht="19.5" customHeight="1" x14ac:dyDescent="0.25">
      <c r="A4" s="55">
        <f t="shared" si="0"/>
        <v>2</v>
      </c>
      <c r="B4" s="60" t="s">
        <v>33</v>
      </c>
      <c r="C4" s="60" t="s">
        <v>201</v>
      </c>
      <c r="D4" s="60" t="s">
        <v>194</v>
      </c>
      <c r="E4" s="61" t="s">
        <v>202</v>
      </c>
      <c r="F4" s="61">
        <v>8</v>
      </c>
      <c r="G4" s="61" t="s">
        <v>196</v>
      </c>
      <c r="H4" s="61">
        <v>0</v>
      </c>
      <c r="I4" s="58" t="s">
        <v>197</v>
      </c>
      <c r="J4" s="59">
        <f>IFERROR(INDEX(#REF!,MATCH(TblCadastro[[#This Row],[NOME COMPLETO]],#REF!,0)),0)</f>
        <v>0</v>
      </c>
      <c r="K4" s="60" t="s">
        <v>203</v>
      </c>
      <c r="L4" t="s">
        <v>119</v>
      </c>
      <c r="M4" t="s">
        <v>199</v>
      </c>
      <c r="N4">
        <v>60</v>
      </c>
      <c r="O4" t="s">
        <v>200</v>
      </c>
    </row>
    <row r="5" spans="1:16" ht="19.5" customHeight="1" x14ac:dyDescent="0.25">
      <c r="A5" s="55">
        <f t="shared" si="0"/>
        <v>3</v>
      </c>
      <c r="B5" s="56" t="s">
        <v>69</v>
      </c>
      <c r="C5" s="57" t="s">
        <v>201</v>
      </c>
      <c r="D5" s="57" t="s">
        <v>204</v>
      </c>
      <c r="E5" s="55" t="s">
        <v>205</v>
      </c>
      <c r="F5" s="55">
        <v>8</v>
      </c>
      <c r="G5" s="55" t="s">
        <v>196</v>
      </c>
      <c r="H5" s="55">
        <v>0</v>
      </c>
      <c r="I5" s="58" t="s">
        <v>197</v>
      </c>
      <c r="J5" s="59">
        <f>IFERROR(INDEX(#REF!,MATCH(TblCadastro[[#This Row],[NOME COMPLETO]],#REF!,0)),0)</f>
        <v>0</v>
      </c>
      <c r="K5" s="56" t="s">
        <v>206</v>
      </c>
      <c r="L5" t="s">
        <v>119</v>
      </c>
      <c r="M5" t="s">
        <v>199</v>
      </c>
      <c r="N5">
        <v>60</v>
      </c>
      <c r="O5" t="s">
        <v>200</v>
      </c>
    </row>
    <row r="6" spans="1:16" ht="19.5" customHeight="1" x14ac:dyDescent="0.25">
      <c r="A6" s="55">
        <f t="shared" si="0"/>
        <v>4</v>
      </c>
      <c r="B6" s="60" t="s">
        <v>80</v>
      </c>
      <c r="C6" s="60" t="s">
        <v>201</v>
      </c>
      <c r="D6" s="60" t="s">
        <v>194</v>
      </c>
      <c r="E6" s="61" t="s">
        <v>207</v>
      </c>
      <c r="F6" s="61">
        <v>5</v>
      </c>
      <c r="G6" s="61" t="s">
        <v>200</v>
      </c>
      <c r="H6" s="61">
        <v>5</v>
      </c>
      <c r="I6" s="58" t="s">
        <v>197</v>
      </c>
      <c r="J6" s="59">
        <f>IFERROR(INDEX(#REF!,MATCH(TblCadastro[[#This Row],[NOME COMPLETO]],#REF!,0)),0)</f>
        <v>0</v>
      </c>
      <c r="K6" s="60" t="s">
        <v>208</v>
      </c>
      <c r="L6" t="s">
        <v>119</v>
      </c>
      <c r="M6" t="s">
        <v>199</v>
      </c>
      <c r="N6">
        <v>60</v>
      </c>
      <c r="O6" t="s">
        <v>200</v>
      </c>
    </row>
    <row r="7" spans="1:16" ht="19.5" customHeight="1" x14ac:dyDescent="0.25">
      <c r="A7" s="55">
        <f t="shared" si="0"/>
        <v>5</v>
      </c>
      <c r="B7" s="56" t="s">
        <v>107</v>
      </c>
      <c r="C7" s="56" t="s">
        <v>201</v>
      </c>
      <c r="D7" s="56" t="s">
        <v>194</v>
      </c>
      <c r="E7" s="55" t="s">
        <v>209</v>
      </c>
      <c r="F7" s="55">
        <v>8</v>
      </c>
      <c r="G7" s="55" t="s">
        <v>196</v>
      </c>
      <c r="H7" s="55">
        <v>0</v>
      </c>
      <c r="I7" s="58" t="s">
        <v>197</v>
      </c>
      <c r="J7" s="59">
        <f>IFERROR(INDEX(#REF!,MATCH(TblCadastro[[#This Row],[NOME COMPLETO]],#REF!,0)),0)</f>
        <v>0</v>
      </c>
      <c r="K7" s="56" t="s">
        <v>210</v>
      </c>
      <c r="L7" t="s">
        <v>119</v>
      </c>
      <c r="M7" t="s">
        <v>199</v>
      </c>
      <c r="N7">
        <v>60</v>
      </c>
      <c r="O7" t="s">
        <v>200</v>
      </c>
    </row>
    <row r="8" spans="1:16" ht="19.5" customHeight="1" x14ac:dyDescent="0.25">
      <c r="A8" s="55">
        <f t="shared" si="0"/>
        <v>6</v>
      </c>
      <c r="B8" s="60" t="s">
        <v>134</v>
      </c>
      <c r="C8" s="60" t="s">
        <v>201</v>
      </c>
      <c r="D8" s="60" t="s">
        <v>211</v>
      </c>
      <c r="E8" s="61" t="s">
        <v>212</v>
      </c>
      <c r="F8" s="61">
        <v>5</v>
      </c>
      <c r="G8" s="61" t="s">
        <v>200</v>
      </c>
      <c r="H8" s="61">
        <v>5</v>
      </c>
      <c r="I8" s="58" t="s">
        <v>197</v>
      </c>
      <c r="J8" s="59">
        <f>IFERROR(INDEX(#REF!,MATCH(TblCadastro[[#This Row],[NOME COMPLETO]],#REF!,0)),0)</f>
        <v>0</v>
      </c>
      <c r="K8" s="60" t="s">
        <v>213</v>
      </c>
      <c r="L8" t="s">
        <v>119</v>
      </c>
      <c r="M8" t="s">
        <v>199</v>
      </c>
      <c r="N8">
        <v>60</v>
      </c>
      <c r="O8" t="s">
        <v>200</v>
      </c>
    </row>
    <row r="9" spans="1:16" ht="15" customHeight="1" x14ac:dyDescent="0.25">
      <c r="A9" s="55">
        <f t="shared" si="0"/>
        <v>7</v>
      </c>
      <c r="B9" s="56" t="s">
        <v>170</v>
      </c>
      <c r="C9" s="56" t="s">
        <v>214</v>
      </c>
      <c r="D9" s="56" t="s">
        <v>215</v>
      </c>
      <c r="E9" s="55"/>
      <c r="F9" s="55">
        <v>8</v>
      </c>
      <c r="G9" s="55" t="s">
        <v>196</v>
      </c>
      <c r="H9" s="55">
        <v>0</v>
      </c>
      <c r="I9" s="58" t="s">
        <v>197</v>
      </c>
      <c r="J9" s="59">
        <f>IFERROR(INDEX(#REF!,MATCH(TblCadastro[[#This Row],[NOME COMPLETO]],#REF!,0)),0)</f>
        <v>0</v>
      </c>
      <c r="K9" s="56"/>
      <c r="L9" t="s">
        <v>119</v>
      </c>
      <c r="M9" t="s">
        <v>199</v>
      </c>
      <c r="N9">
        <v>60</v>
      </c>
      <c r="O9" t="s">
        <v>200</v>
      </c>
    </row>
    <row r="10" spans="1:16" ht="31.5" customHeight="1" x14ac:dyDescent="0.25">
      <c r="A10" s="55">
        <f t="shared" si="0"/>
        <v>8</v>
      </c>
      <c r="B10" s="60" t="s">
        <v>171</v>
      </c>
      <c r="C10" s="60" t="s">
        <v>216</v>
      </c>
      <c r="D10" s="60" t="s">
        <v>217</v>
      </c>
      <c r="E10" s="61"/>
      <c r="F10" s="61">
        <v>8</v>
      </c>
      <c r="G10" s="61" t="s">
        <v>196</v>
      </c>
      <c r="H10" s="61">
        <v>0</v>
      </c>
      <c r="I10" s="58" t="s">
        <v>197</v>
      </c>
      <c r="J10" s="59">
        <f>IFERROR(INDEX(#REF!,MATCH(TblCadastro[[#This Row],[NOME COMPLETO]],#REF!,0)),0)</f>
        <v>0</v>
      </c>
      <c r="K10" s="60"/>
      <c r="L10" t="s">
        <v>119</v>
      </c>
      <c r="M10" t="s">
        <v>199</v>
      </c>
      <c r="N10">
        <v>60</v>
      </c>
      <c r="O10" t="s">
        <v>200</v>
      </c>
    </row>
    <row r="11" spans="1:16" ht="15" customHeight="1" x14ac:dyDescent="0.25">
      <c r="A11" s="55">
        <f t="shared" si="0"/>
        <v>9</v>
      </c>
      <c r="B11" s="56" t="s">
        <v>172</v>
      </c>
      <c r="C11" s="56" t="s">
        <v>216</v>
      </c>
      <c r="D11" s="56" t="s">
        <v>217</v>
      </c>
      <c r="E11" s="55"/>
      <c r="F11" s="55">
        <v>8</v>
      </c>
      <c r="G11" s="55" t="s">
        <v>196</v>
      </c>
      <c r="H11" s="55">
        <v>0</v>
      </c>
      <c r="I11" s="58" t="s">
        <v>197</v>
      </c>
      <c r="J11" s="59">
        <f>IFERROR(INDEX(#REF!,MATCH(TblCadastro[[#This Row],[NOME COMPLETO]],#REF!,0)),0)</f>
        <v>0</v>
      </c>
      <c r="K11" s="56"/>
      <c r="L11" t="s">
        <v>119</v>
      </c>
      <c r="M11" t="s">
        <v>199</v>
      </c>
      <c r="N11">
        <v>60</v>
      </c>
      <c r="O11" t="s">
        <v>200</v>
      </c>
    </row>
    <row r="12" spans="1:16" ht="15" customHeight="1" x14ac:dyDescent="0.25">
      <c r="A12" s="55">
        <f t="shared" si="0"/>
        <v>10</v>
      </c>
      <c r="B12" s="60" t="s">
        <v>173</v>
      </c>
      <c r="C12" s="60" t="s">
        <v>214</v>
      </c>
      <c r="D12" s="60" t="s">
        <v>215</v>
      </c>
      <c r="E12" s="61"/>
      <c r="F12" s="61">
        <v>8</v>
      </c>
      <c r="G12" s="61" t="s">
        <v>200</v>
      </c>
      <c r="H12" s="61">
        <v>4</v>
      </c>
      <c r="I12" s="58" t="s">
        <v>197</v>
      </c>
      <c r="J12" s="59">
        <f>IFERROR(INDEX(#REF!,MATCH(TblCadastro[[#This Row],[NOME COMPLETO]],#REF!,0)),0)</f>
        <v>0</v>
      </c>
      <c r="K12" s="60" t="s">
        <v>218</v>
      </c>
      <c r="L12" t="s">
        <v>119</v>
      </c>
      <c r="M12" t="s">
        <v>199</v>
      </c>
      <c r="N12">
        <v>60</v>
      </c>
      <c r="O12" t="s">
        <v>200</v>
      </c>
    </row>
    <row r="13" spans="1:16" ht="15" customHeight="1" x14ac:dyDescent="0.25">
      <c r="A13" s="55">
        <f t="shared" si="0"/>
        <v>11</v>
      </c>
      <c r="B13" s="56" t="s">
        <v>174</v>
      </c>
      <c r="C13" s="56" t="s">
        <v>219</v>
      </c>
      <c r="D13" s="56" t="s">
        <v>220</v>
      </c>
      <c r="E13" s="55"/>
      <c r="F13" s="55">
        <v>8</v>
      </c>
      <c r="G13" s="55" t="s">
        <v>196</v>
      </c>
      <c r="H13" s="55">
        <v>0</v>
      </c>
      <c r="I13" s="58" t="s">
        <v>197</v>
      </c>
      <c r="J13" s="59">
        <f>IFERROR(INDEX(#REF!,MATCH(TblCadastro[[#This Row],[NOME COMPLETO]],#REF!,0)),0)</f>
        <v>0</v>
      </c>
      <c r="K13" s="56"/>
      <c r="L13" t="s">
        <v>119</v>
      </c>
      <c r="M13" t="s">
        <v>199</v>
      </c>
      <c r="N13">
        <v>60</v>
      </c>
      <c r="O13" t="s">
        <v>200</v>
      </c>
    </row>
    <row r="14" spans="1:16" ht="15" customHeight="1" x14ac:dyDescent="0.25">
      <c r="A14" s="55">
        <f t="shared" si="0"/>
        <v>12</v>
      </c>
      <c r="B14" s="60" t="s">
        <v>175</v>
      </c>
      <c r="C14" s="60" t="s">
        <v>214</v>
      </c>
      <c r="D14" s="60" t="s">
        <v>215</v>
      </c>
      <c r="E14" s="61"/>
      <c r="F14" s="61">
        <v>8</v>
      </c>
      <c r="G14" s="61" t="s">
        <v>196</v>
      </c>
      <c r="H14" s="61">
        <v>0</v>
      </c>
      <c r="I14" s="58" t="s">
        <v>197</v>
      </c>
      <c r="J14" s="59">
        <f>IFERROR(INDEX(#REF!,MATCH(TblCadastro[[#This Row],[NOME COMPLETO]],#REF!,0)),0)</f>
        <v>0</v>
      </c>
      <c r="K14" s="60"/>
      <c r="L14" t="s">
        <v>119</v>
      </c>
      <c r="M14" t="s">
        <v>199</v>
      </c>
      <c r="N14">
        <v>60</v>
      </c>
      <c r="O14" t="s">
        <v>200</v>
      </c>
    </row>
    <row r="15" spans="1:16" ht="15" customHeight="1" x14ac:dyDescent="0.25"/>
    <row r="16" spans="1:16" ht="15" customHeight="1" x14ac:dyDescent="0.25">
      <c r="A16" s="11" t="s">
        <v>221</v>
      </c>
      <c r="B16" s="11"/>
      <c r="C16" s="11"/>
      <c r="D16" s="11"/>
      <c r="E16" s="11"/>
      <c r="F16" s="11"/>
      <c r="G16" s="11"/>
      <c r="H16" s="11"/>
      <c r="I16" s="11"/>
      <c r="J16" s="11"/>
      <c r="K16" s="11"/>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sheetData>
  <mergeCells count="2">
    <mergeCell ref="A1:K1"/>
    <mergeCell ref="A16:K16"/>
  </mergeCells>
  <dataValidations count="1">
    <dataValidation type="list" sqref="O3:O200" xr:uid="{00000000-0002-0000-0200-000000000000}">
      <formula1>"Sim,Não"</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E8A020"/>
  </sheetPr>
  <dimension ref="A2:G44"/>
  <sheetViews>
    <sheetView topLeftCell="A10" zoomScale="110" zoomScaleNormal="110" workbookViewId="0">
      <selection activeCell="B8" sqref="B8:C9"/>
    </sheetView>
  </sheetViews>
  <sheetFormatPr defaultColWidth="8.7109375" defaultRowHeight="15" x14ac:dyDescent="0.25"/>
  <cols>
    <col min="1" max="1" width="2" customWidth="1"/>
    <col min="2" max="2" width="25.140625" customWidth="1"/>
    <col min="3" max="3" width="12.140625" customWidth="1"/>
    <col min="4" max="4" width="8.85546875" customWidth="1"/>
    <col min="5" max="5" width="11.140625" customWidth="1"/>
    <col min="6" max="6" width="12.42578125" customWidth="1"/>
    <col min="7" max="7" width="26.7109375" customWidth="1"/>
    <col min="8" max="8" width="14.140625" customWidth="1"/>
  </cols>
  <sheetData>
    <row r="2" spans="1:7" ht="21" customHeight="1" x14ac:dyDescent="0.25">
      <c r="A2" s="62"/>
      <c r="B2" s="10" t="s">
        <v>222</v>
      </c>
      <c r="C2" s="10"/>
      <c r="D2" s="10"/>
      <c r="E2" s="10"/>
      <c r="F2" s="10"/>
      <c r="G2" s="10"/>
    </row>
    <row r="3" spans="1:7" ht="15" customHeight="1" x14ac:dyDescent="0.25">
      <c r="A3" s="63"/>
      <c r="B3" s="9" t="s">
        <v>223</v>
      </c>
      <c r="C3" s="9"/>
      <c r="D3" s="9"/>
      <c r="E3" s="9"/>
      <c r="F3" s="9"/>
      <c r="G3" s="9"/>
    </row>
    <row r="4" spans="1:7" ht="15" customHeight="1" x14ac:dyDescent="0.25">
      <c r="A4" s="64"/>
      <c r="B4" s="64"/>
      <c r="C4" s="65"/>
      <c r="D4" s="65"/>
      <c r="E4" s="65"/>
      <c r="F4" s="65"/>
      <c r="G4" s="66"/>
    </row>
    <row r="5" spans="1:7" ht="15" customHeight="1" x14ac:dyDescent="0.25">
      <c r="A5" s="63"/>
      <c r="B5" s="8" t="str">
        <f>"COLABORADORES"&amp;CHAR(10)&amp;"ATIVOS"&amp;CHAR(10)&amp;COUNTA(TblResumo[COLABORADOR])</f>
        <v>COLABORADORES
ATIVOS
12</v>
      </c>
      <c r="C5" s="8"/>
      <c r="D5" s="7" t="str">
        <f>"COMPETÊNCIAS"&amp;CHAR(10)&amp;"NA BASE"&amp;CHAR(10)&amp;COUNTA(Apuracao_Consolidada!B:B)-1</f>
        <v>COMPETÊNCIAS
NA BASE
42</v>
      </c>
      <c r="E5" s="7"/>
      <c r="F5" s="6" t="str">
        <f>"DADOS"&amp;CHAR(10)&amp;"VALIDADOS (OK)"&amp;CHAR(10)&amp;COUNTIFS(Apuracao_Consolidada!Q:Q,"✅ OK")+COUNTIFS(Apuracao_Consolidada!Q:Q,"✅ Rodapé lido")</f>
        <v>DADOS
VALIDADOS (OK)
15</v>
      </c>
      <c r="G5" s="6"/>
    </row>
    <row r="6" spans="1:7" ht="44.25" customHeight="1" x14ac:dyDescent="0.25">
      <c r="A6" s="63"/>
      <c r="B6" s="8"/>
      <c r="C6" s="8"/>
      <c r="D6" s="7"/>
      <c r="E6" s="7"/>
      <c r="F6" s="6"/>
      <c r="G6" s="6"/>
    </row>
    <row r="7" spans="1:7" ht="15" customHeight="1" x14ac:dyDescent="0.25">
      <c r="A7" s="64"/>
      <c r="B7" s="64"/>
      <c r="C7" s="65"/>
      <c r="D7" s="65"/>
      <c r="E7" s="65"/>
      <c r="F7" s="65"/>
      <c r="G7" s="66"/>
    </row>
    <row r="8" spans="1:7" ht="15" customHeight="1" x14ac:dyDescent="0.25">
      <c r="A8" s="63"/>
      <c r="B8" s="5" t="str">
        <f>"ZEROS"&amp;CHAR(10)&amp;"APLICADOS"&amp;CHAR(10)&amp;COUNTIFS(Apuracao_Consolidada!Q:Q,"🟡 Ilegível → zero")+COUNTIFS(Apuracao_Consolidada!Q:Q,"⚪ Folha faltando")+COUNTIFS(Apuracao_Consolidada!Q:Q,"🟡 Zero aplicado")</f>
        <v>ZEROS
APLICADOS
21</v>
      </c>
      <c r="C8" s="5"/>
      <c r="D8" s="5" t="str">
        <f>"DUPLICATAS"&amp;CHAR(10)&amp;"RESOLVIDAS"&amp;CHAR(10)&amp;COUNTIFS(Apuracao_Consolidada!Q:Q,"🔶 Duplicata → maior")&amp;"  (critério: maior)"</f>
        <v>DUPLICATAS
RESOLVIDAS
4  (critério: maior)</v>
      </c>
      <c r="E8" s="5"/>
      <c r="F8" s="6" t="str">
        <f>"SALDO LÍQUIDO"&amp;CHAR(10)&amp;"TOTAL"&amp;CHAR(10)&amp;IF(SUM(TblResumo[SALDO LÍQUIDO FINAL])&gt;=0,"+","")&amp;TEXT(ABS(SUM(TblResumo[SALDO LÍQUIDO FINAL])),"[h]:mm")</f>
        <v>SALDO LÍQUIDO
TOTAL
+65:50</v>
      </c>
      <c r="G8" s="6"/>
    </row>
    <row r="9" spans="1:7" ht="39.75" customHeight="1" x14ac:dyDescent="0.25">
      <c r="A9" s="63"/>
      <c r="B9" s="5"/>
      <c r="C9" s="5"/>
      <c r="D9" s="5"/>
      <c r="E9" s="5"/>
      <c r="F9" s="6"/>
      <c r="G9" s="6"/>
    </row>
    <row r="10" spans="1:7" ht="15" customHeight="1" x14ac:dyDescent="0.25">
      <c r="A10" s="64"/>
      <c r="B10" s="64"/>
      <c r="C10" s="65"/>
      <c r="D10" s="65"/>
      <c r="E10" s="65"/>
      <c r="F10" s="65"/>
      <c r="G10" s="66"/>
    </row>
    <row r="11" spans="1:7" ht="15" customHeight="1" x14ac:dyDescent="0.25">
      <c r="A11" s="63"/>
      <c r="B11" s="4" t="s">
        <v>224</v>
      </c>
      <c r="C11" s="4"/>
      <c r="D11" s="4"/>
      <c r="E11" s="4"/>
      <c r="F11" s="4"/>
      <c r="G11" s="4"/>
    </row>
    <row r="12" spans="1:7" ht="15" customHeight="1" x14ac:dyDescent="0.25">
      <c r="A12" s="63"/>
      <c r="B12" s="67" t="s">
        <v>2</v>
      </c>
      <c r="C12" s="67" t="s">
        <v>225</v>
      </c>
      <c r="D12" s="67" t="s">
        <v>226</v>
      </c>
      <c r="E12" s="67" t="s">
        <v>227</v>
      </c>
      <c r="F12" s="67" t="s">
        <v>228</v>
      </c>
      <c r="G12" s="67" t="s">
        <v>229</v>
      </c>
    </row>
    <row r="13" spans="1:7" ht="15" customHeight="1" x14ac:dyDescent="0.25">
      <c r="A13" s="63"/>
      <c r="B13" s="68" t="str">
        <f>IFERROR(INDEX(TblResumo[COLABORADOR],1),"")</f>
        <v>Amanda Curcino dos Santos</v>
      </c>
      <c r="C13" s="69">
        <f>IF(B13="","",COUNTIF(TblApuracao[COLABORADOR],B13))</f>
        <v>1</v>
      </c>
      <c r="D13" s="69">
        <f>IF(B13="","",COUNTIFS(TblApuracao[COLABORADOR],B13,TblApuracao[CRITÉRIO],"✅ OK")+COUNTIFS(TblApuracao[COLABORADOR],B13,TblApuracao[CRITÉRIO],"✅ Rodapé lido"))</f>
        <v>0</v>
      </c>
      <c r="E13" s="70">
        <f>IF(B13="","",COUNTIFS(TblApuracao[COLABORADOR],B13,TblApuracao[CRITÉRIO],"🟡 Ilegível → zero")+COUNTIFS(TblApuracao[COLABORADOR],B13,TblApuracao[CRITÉRIO],"⚪ Folha faltando")+COUNTIFS(TblApuracao[COLABORADOR],B13,TblApuracao[CRITÉRIO],"🟡 Zero aplicado"))</f>
        <v>1</v>
      </c>
      <c r="F13" s="71">
        <f>IF(B13="","",IFERROR(LOOKUP(2,1/(TblApuracao[COLABORADOR]=B13),TblApuracao[SALDO LÍQUIDO (h:mm)]),0))</f>
        <v>0</v>
      </c>
      <c r="G13" s="69" t="str">
        <f t="shared" ref="G13:G24" si="0">IF(B13="","",IF(F13&gt;0,"🟢 Positivo",IF(F13&lt;0,"🔴 Negativo","⚪ Zero")))</f>
        <v>⚪ Zero</v>
      </c>
    </row>
    <row r="14" spans="1:7" ht="15" customHeight="1" x14ac:dyDescent="0.25">
      <c r="A14" s="63"/>
      <c r="B14" s="72" t="str">
        <f>IFERROR(INDEX(TblResumo[COLABORADOR],2),"")</f>
        <v>Emanuelly Ribeiro de Aguiar</v>
      </c>
      <c r="C14" s="73">
        <f>IF(B14="","",COUNTIF(TblApuracao[COLABORADOR],B14))</f>
        <v>10</v>
      </c>
      <c r="D14" s="73">
        <f>IF(B14="","",COUNTIFS(TblApuracao[COLABORADOR],B14,TblApuracao[CRITÉRIO],"✅ OK")+COUNTIFS(TblApuracao[COLABORADOR],B14,TblApuracao[CRITÉRIO],"✅ Rodapé lido"))</f>
        <v>2</v>
      </c>
      <c r="E14" s="74">
        <f>IF(B14="","",COUNTIFS(TblApuracao[COLABORADOR],B14,TblApuracao[CRITÉRIO],"🟡 Ilegível → zero")+COUNTIFS(TblApuracao[COLABORADOR],B14,TblApuracao[CRITÉRIO],"⚪ Folha faltando")+COUNTIFS(TblApuracao[COLABORADOR],B14,TblApuracao[CRITÉRIO],"🟡 Zero aplicado"))</f>
        <v>7</v>
      </c>
      <c r="F14" s="75">
        <f>IF(B14="","",IFERROR(LOOKUP(2,1/(TblApuracao[COLABORADOR]=B14),TblApuracao[SALDO LÍQUIDO (h:mm)]),0))</f>
        <v>0.57499999999999996</v>
      </c>
      <c r="G14" s="73" t="str">
        <f t="shared" si="0"/>
        <v>🟢 Positivo</v>
      </c>
    </row>
    <row r="15" spans="1:7" ht="15" customHeight="1" x14ac:dyDescent="0.25">
      <c r="A15" s="63"/>
      <c r="B15" s="68" t="str">
        <f>IFERROR(INDEX(TblResumo[COLABORADOR],3),"")</f>
        <v>Geovana Rodrigues Oliveira</v>
      </c>
      <c r="C15" s="69">
        <f>IF(B15="","",COUNTIF(TblApuracao[COLABORADOR],B15))</f>
        <v>3</v>
      </c>
      <c r="D15" s="69">
        <f>IF(B15="","",COUNTIFS(TblApuracao[COLABORADOR],B15,TblApuracao[CRITÉRIO],"✅ OK")+COUNTIFS(TblApuracao[COLABORADOR],B15,TblApuracao[CRITÉRIO],"✅ Rodapé lido"))</f>
        <v>2</v>
      </c>
      <c r="E15" s="74">
        <f>IF(B15="","",COUNTIFS(TblApuracao[COLABORADOR],B15,TblApuracao[CRITÉRIO],"🟡 Ilegível → zero")+COUNTIFS(TblApuracao[COLABORADOR],B15,TblApuracao[CRITÉRIO],"⚪ Folha faltando")+COUNTIFS(TblApuracao[COLABORADOR],B15,TblApuracao[CRITÉRIO],"🟡 Zero aplicado"))</f>
        <v>1</v>
      </c>
      <c r="F15" s="75">
        <f>IF(B15="","",IFERROR(LOOKUP(2,1/(TblApuracao[COLABORADOR]=B15),TblApuracao[SALDO LÍQUIDO (h:mm)]),0))</f>
        <v>0</v>
      </c>
      <c r="G15" s="69" t="str">
        <f t="shared" si="0"/>
        <v>⚪ Zero</v>
      </c>
    </row>
    <row r="16" spans="1:7" ht="15" customHeight="1" x14ac:dyDescent="0.25">
      <c r="A16" s="63"/>
      <c r="B16" s="72" t="str">
        <f>IFERROR(INDEX(TblResumo[COLABORADOR],4),"")</f>
        <v>Laisi Silva Ferreira</v>
      </c>
      <c r="C16" s="73">
        <f>IF(B16="","",COUNTIF(TblApuracao[COLABORADOR],B16))</f>
        <v>9</v>
      </c>
      <c r="D16" s="73">
        <f>IF(B16="","",COUNTIFS(TblApuracao[COLABORADOR],B16,TblApuracao[CRITÉRIO],"✅ OK")+COUNTIFS(TblApuracao[COLABORADOR],B16,TblApuracao[CRITÉRIO],"✅ Rodapé lido"))</f>
        <v>3</v>
      </c>
      <c r="E16" s="74">
        <f>IF(B16="","",COUNTIFS(TblApuracao[COLABORADOR],B16,TblApuracao[CRITÉRIO],"🟡 Ilegível → zero")+COUNTIFS(TblApuracao[COLABORADOR],B16,TblApuracao[CRITÉRIO],"⚪ Folha faltando")+COUNTIFS(TblApuracao[COLABORADOR],B16,TblApuracao[CRITÉRIO],"🟡 Zero aplicado"))</f>
        <v>4</v>
      </c>
      <c r="F16" s="75">
        <f>IF(B16="","",IFERROR(LOOKUP(2,1/(TblApuracao[COLABORADOR]=B16),TblApuracao[SALDO LÍQUIDO (h:mm)]),0))</f>
        <v>1.1375</v>
      </c>
      <c r="G16" s="73" t="str">
        <f t="shared" si="0"/>
        <v>🟢 Positivo</v>
      </c>
    </row>
    <row r="17" spans="1:7" ht="15" customHeight="1" x14ac:dyDescent="0.25">
      <c r="A17" s="63"/>
      <c r="B17" s="68" t="str">
        <f>IFERROR(INDEX(TblResumo[COLABORADOR],5),"")</f>
        <v>Lizandra Ferreira Alves</v>
      </c>
      <c r="C17" s="69">
        <f>IF(B17="","",COUNTIF(TblApuracao[COLABORADOR],B17))</f>
        <v>10</v>
      </c>
      <c r="D17" s="69">
        <f>IF(B17="","",COUNTIFS(TblApuracao[COLABORADOR],B17,TblApuracao[CRITÉRIO],"✅ OK")+COUNTIFS(TblApuracao[COLABORADOR],B17,TblApuracao[CRITÉRIO],"✅ Rodapé lido"))</f>
        <v>4</v>
      </c>
      <c r="E17" s="74">
        <f>IF(B17="","",COUNTIFS(TblApuracao[COLABORADOR],B17,TblApuracao[CRITÉRIO],"🟡 Ilegível → zero")+COUNTIFS(TblApuracao[COLABORADOR],B17,TblApuracao[CRITÉRIO],"⚪ Folha faltando")+COUNTIFS(TblApuracao[COLABORADOR],B17,TblApuracao[CRITÉRIO],"🟡 Zero aplicado"))</f>
        <v>5</v>
      </c>
      <c r="F17" s="75">
        <f>IF(B17="","",IFERROR(LOOKUP(2,1/(TblApuracao[COLABORADOR]=B17),TblApuracao[SALDO LÍQUIDO (h:mm)]),0))</f>
        <v>2.2138888888888886</v>
      </c>
      <c r="G17" s="69" t="str">
        <f t="shared" si="0"/>
        <v>🟢 Positivo</v>
      </c>
    </row>
    <row r="18" spans="1:7" ht="15" customHeight="1" x14ac:dyDescent="0.25">
      <c r="A18" s="63"/>
      <c r="B18" s="72" t="str">
        <f>IFERROR(INDEX(TblResumo[COLABORADOR],6),"")</f>
        <v>Matheus Silva de Sousa</v>
      </c>
      <c r="C18" s="73">
        <f>IF(B18="","",COUNTIF(TblApuracao[COLABORADOR],B18))</f>
        <v>9</v>
      </c>
      <c r="D18" s="73">
        <f>IF(B18="","",COUNTIFS(TblApuracao[COLABORADOR],B18,TblApuracao[CRITÉRIO],"✅ OK")+COUNTIFS(TblApuracao[COLABORADOR],B18,TblApuracao[CRITÉRIO],"✅ Rodapé lido"))</f>
        <v>4</v>
      </c>
      <c r="E18" s="76">
        <f>IF(B18="","",COUNTIFS(TblApuracao[COLABORADOR],B18,TblApuracao[CRITÉRIO],"🟡 Ilegível → zero")+COUNTIFS(TblApuracao[COLABORADOR],B18,TblApuracao[CRITÉRIO],"⚪ Folha faltando")+COUNTIFS(TblApuracao[COLABORADOR],B18,TblApuracao[CRITÉRIO],"🟡 Zero aplicado"))</f>
        <v>3</v>
      </c>
      <c r="F18" s="77">
        <f>IF(B18="","",IFERROR(LOOKUP(2,1/(TblApuracao[COLABORADOR]=B18),TblApuracao[SALDO LÍQUIDO (h:mm)]),0))</f>
        <v>-1.1833333333333331</v>
      </c>
      <c r="G18" s="73" t="str">
        <f t="shared" si="0"/>
        <v>🔴 Negativo</v>
      </c>
    </row>
    <row r="19" spans="1:7" ht="15" customHeight="1" x14ac:dyDescent="0.25">
      <c r="A19" s="63"/>
      <c r="B19" s="78" t="str">
        <f>IFERROR(INDEX(TblResumo[COLABORADOR],7),"")</f>
        <v>Marinete Soares Rodrigues</v>
      </c>
      <c r="C19" s="79">
        <f>IF(B19="","",COUNTIF(TblApuracao[COLABORADOR],B19))</f>
        <v>0</v>
      </c>
      <c r="D19" s="79">
        <f>IF(B19="","",COUNTIFS(TblApuracao[COLABORADOR],B19,TblApuracao[CRITÉRIO],"✅ OK")+COUNTIFS(TblApuracao[COLABORADOR],B19,TblApuracao[CRITÉRIO],"✅ Rodapé lido"))</f>
        <v>0</v>
      </c>
      <c r="E19" s="79">
        <f>IF(B19="","",COUNTIFS(TblApuracao[COLABORADOR],B19,TblApuracao[CRITÉRIO],"🟡 Ilegível → zero")+COUNTIFS(TblApuracao[COLABORADOR],B19,TblApuracao[CRITÉRIO],"⚪ Folha faltando")+COUNTIFS(TblApuracao[COLABORADOR],B19,TblApuracao[CRITÉRIO],"🟡 Zero aplicado"))</f>
        <v>0</v>
      </c>
      <c r="F19" s="79">
        <f>IF(B19="","",IFERROR(LOOKUP(2,1/(TblApuracao[COLABORADOR]=B19),TblApuracao[SALDO LÍQUIDO (h:mm)]),0))</f>
        <v>0</v>
      </c>
      <c r="G19" s="79" t="str">
        <f t="shared" si="0"/>
        <v>⚪ Zero</v>
      </c>
    </row>
    <row r="20" spans="1:7" ht="15" customHeight="1" x14ac:dyDescent="0.25">
      <c r="A20" s="63"/>
      <c r="B20" s="80" t="str">
        <f>IFERROR(INDEX(TblResumo[COLABORADOR],8),"")</f>
        <v>Kayo Folha Alves</v>
      </c>
      <c r="C20" s="81">
        <f>IF(B20="","",COUNTIF(TblApuracao[COLABORADOR],B20))</f>
        <v>0</v>
      </c>
      <c r="D20" s="81">
        <f>IF(B20="","",COUNTIFS(TblApuracao[COLABORADOR],B20,TblApuracao[CRITÉRIO],"✅ OK")+COUNTIFS(TblApuracao[COLABORADOR],B20,TblApuracao[CRITÉRIO],"✅ Rodapé lido"))</f>
        <v>0</v>
      </c>
      <c r="E20" s="81">
        <f>IF(B20="","",COUNTIFS(TblApuracao[COLABORADOR],B20,TblApuracao[CRITÉRIO],"🟡 Ilegível → zero")+COUNTIFS(TblApuracao[COLABORADOR],B20,TblApuracao[CRITÉRIO],"⚪ Folha faltando")+COUNTIFS(TblApuracao[COLABORADOR],B20,TblApuracao[CRITÉRIO],"🟡 Zero aplicado"))</f>
        <v>0</v>
      </c>
      <c r="F20" s="81">
        <f>IF(B20="","",IFERROR(LOOKUP(2,1/(TblApuracao[COLABORADOR]=B20),TblApuracao[SALDO LÍQUIDO (h:mm)]),0))</f>
        <v>0</v>
      </c>
      <c r="G20" s="81" t="str">
        <f t="shared" si="0"/>
        <v>⚪ Zero</v>
      </c>
    </row>
    <row r="21" spans="1:7" ht="15" customHeight="1" x14ac:dyDescent="0.25">
      <c r="A21" s="63"/>
      <c r="B21" s="78" t="str">
        <f>IFERROR(INDEX(TblResumo[COLABORADOR],9),"")</f>
        <v>Adailton Folha Filho</v>
      </c>
      <c r="C21" s="79">
        <f>IF(B21="","",COUNTIF(TblApuracao[COLABORADOR],B21))</f>
        <v>0</v>
      </c>
      <c r="D21" s="79">
        <f>IF(B21="","",COUNTIFS(TblApuracao[COLABORADOR],B21,TblApuracao[CRITÉRIO],"✅ OK")+COUNTIFS(TblApuracao[COLABORADOR],B21,TblApuracao[CRITÉRIO],"✅ Rodapé lido"))</f>
        <v>0</v>
      </c>
      <c r="E21" s="79">
        <f>IF(B21="","",COUNTIFS(TblApuracao[COLABORADOR],B21,TblApuracao[CRITÉRIO],"🟡 Ilegível → zero")+COUNTIFS(TblApuracao[COLABORADOR],B21,TblApuracao[CRITÉRIO],"⚪ Folha faltando")+COUNTIFS(TblApuracao[COLABORADOR],B21,TblApuracao[CRITÉRIO],"🟡 Zero aplicado"))</f>
        <v>0</v>
      </c>
      <c r="F21" s="79">
        <f>IF(B21="","",IFERROR(LOOKUP(2,1/(TblApuracao[COLABORADOR]=B21),TblApuracao[SALDO LÍQUIDO (h:mm)]),0))</f>
        <v>0</v>
      </c>
      <c r="G21" s="79" t="str">
        <f t="shared" si="0"/>
        <v>⚪ Zero</v>
      </c>
    </row>
    <row r="22" spans="1:7" ht="15" customHeight="1" x14ac:dyDescent="0.25">
      <c r="A22" s="63"/>
      <c r="B22" s="80" t="str">
        <f>IFERROR(INDEX(TblResumo[COLABORADOR],10),"")</f>
        <v>Luana Oliveira</v>
      </c>
      <c r="C22" s="81">
        <f>IF(B22="","",COUNTIF(TblApuracao[COLABORADOR],B22))</f>
        <v>0</v>
      </c>
      <c r="D22" s="81">
        <f>IF(B22="","",COUNTIFS(TblApuracao[COLABORADOR],B22,TblApuracao[CRITÉRIO],"✅ OK")+COUNTIFS(TblApuracao[COLABORADOR],B22,TblApuracao[CRITÉRIO],"✅ Rodapé lido"))</f>
        <v>0</v>
      </c>
      <c r="E22" s="81">
        <f>IF(B22="","",COUNTIFS(TblApuracao[COLABORADOR],B22,TblApuracao[CRITÉRIO],"🟡 Ilegível → zero")+COUNTIFS(TblApuracao[COLABORADOR],B22,TblApuracao[CRITÉRIO],"⚪ Folha faltando")+COUNTIFS(TblApuracao[COLABORADOR],B22,TblApuracao[CRITÉRIO],"🟡 Zero aplicado"))</f>
        <v>0</v>
      </c>
      <c r="F22" s="81">
        <f>IF(B22="","",IFERROR(LOOKUP(2,1/(TblApuracao[COLABORADOR]=B22),TblApuracao[SALDO LÍQUIDO (h:mm)]),0))</f>
        <v>0</v>
      </c>
      <c r="G22" s="81" t="str">
        <f t="shared" si="0"/>
        <v>⚪ Zero</v>
      </c>
    </row>
    <row r="23" spans="1:7" ht="15" customHeight="1" x14ac:dyDescent="0.25">
      <c r="A23" s="63"/>
      <c r="B23" s="78" t="str">
        <f>IFERROR(INDEX(TblResumo[COLABORADOR],11),"")</f>
        <v>Pedro Henrique</v>
      </c>
      <c r="C23" s="79">
        <f>IF(B23="","",COUNTIF(TblApuracao[COLABORADOR],B23))</f>
        <v>0</v>
      </c>
      <c r="D23" s="79">
        <f>IF(B23="","",COUNTIFS(TblApuracao[COLABORADOR],B23,TblApuracao[CRITÉRIO],"✅ OK")+COUNTIFS(TblApuracao[COLABORADOR],B23,TblApuracao[CRITÉRIO],"✅ Rodapé lido"))</f>
        <v>0</v>
      </c>
      <c r="E23" s="79">
        <f>IF(B23="","",COUNTIFS(TblApuracao[COLABORADOR],B23,TblApuracao[CRITÉRIO],"🟡 Ilegível → zero")+COUNTIFS(TblApuracao[COLABORADOR],B23,TblApuracao[CRITÉRIO],"⚪ Folha faltando")+COUNTIFS(TblApuracao[COLABORADOR],B23,TblApuracao[CRITÉRIO],"🟡 Zero aplicado"))</f>
        <v>0</v>
      </c>
      <c r="F23" s="79">
        <f>IF(B23="","",IFERROR(LOOKUP(2,1/(TblApuracao[COLABORADOR]=B23),TblApuracao[SALDO LÍQUIDO (h:mm)]),0))</f>
        <v>0</v>
      </c>
      <c r="G23" s="79" t="str">
        <f t="shared" si="0"/>
        <v>⚪ Zero</v>
      </c>
    </row>
    <row r="24" spans="1:7" ht="15" customHeight="1" x14ac:dyDescent="0.25">
      <c r="A24" s="63"/>
      <c r="B24" s="80" t="str">
        <f>IFERROR(INDEX(TblResumo[COLABORADOR],12),"")</f>
        <v>Maria</v>
      </c>
      <c r="C24" s="81">
        <f>IF(B24="","",COUNTIF(TblApuracao[COLABORADOR],B24))</f>
        <v>0</v>
      </c>
      <c r="D24" s="81">
        <f>IF(B24="","",COUNTIFS(TblApuracao[COLABORADOR],B24,TblApuracao[CRITÉRIO],"✅ OK")+COUNTIFS(TblApuracao[COLABORADOR],B24,TblApuracao[CRITÉRIO],"✅ Rodapé lido"))</f>
        <v>0</v>
      </c>
      <c r="E24" s="81">
        <f>IF(B24="","",COUNTIFS(TblApuracao[COLABORADOR],B24,TblApuracao[CRITÉRIO],"🟡 Ilegível → zero")+COUNTIFS(TblApuracao[COLABORADOR],B24,TblApuracao[CRITÉRIO],"⚪ Folha faltando")+COUNTIFS(TblApuracao[COLABORADOR],B24,TblApuracao[CRITÉRIO],"🟡 Zero aplicado"))</f>
        <v>0</v>
      </c>
      <c r="F24" s="81">
        <f>IF(B24="","",IFERROR(LOOKUP(2,1/(TblApuracao[COLABORADOR]=B24),TblApuracao[SALDO LÍQUIDO (h:mm)]),0))</f>
        <v>0</v>
      </c>
      <c r="G24" s="81" t="str">
        <f t="shared" si="0"/>
        <v>⚪ Zero</v>
      </c>
    </row>
    <row r="25" spans="1:7" ht="50.25" customHeight="1" x14ac:dyDescent="0.25">
      <c r="A25" s="63"/>
      <c r="B25" s="3" t="str">
        <f>"▶  "&amp;COUNTIF(G13:G24,"🟢 Positivo")&amp;" colaborador(es) com saldo POSITIVO  |  "&amp;COUNTIF(G13:G24,"🔴 Negativo")&amp;" com saldo NEGATIVO  |  "&amp;COUNTIF(G13:G24,"⚪ Zero")&amp;" com saldo ZERO  |  Saldo líquido geral da equipe: "&amp;IF(SUM(TblResumo[SALDO LÍQUIDO FINAL])&gt;=0,"+","-")&amp;TEXT(ABS(SUM(TblResumo[SALDO LÍQUIDO FINAL])),"[h]:mm")</f>
        <v>▶  3 colaborador(es) com saldo POSITIVO  |  1 com saldo NEGATIVO  |  8 com saldo ZERO  |  Saldo líquido geral da equipe: +65:50</v>
      </c>
      <c r="C25" s="3"/>
      <c r="D25" s="3"/>
      <c r="E25" s="3"/>
      <c r="F25" s="3"/>
      <c r="G25" s="3"/>
    </row>
    <row r="27" spans="1:7" ht="15" customHeight="1" x14ac:dyDescent="0.25">
      <c r="B27" s="2"/>
      <c r="C27" s="2"/>
      <c r="D27" s="2"/>
      <c r="E27" s="2"/>
      <c r="F27" s="2"/>
      <c r="G27" s="2"/>
    </row>
    <row r="28" spans="1:7" ht="15" customHeight="1" x14ac:dyDescent="0.25">
      <c r="B28" s="1"/>
      <c r="C28" s="1"/>
      <c r="D28" s="1"/>
      <c r="E28" s="1"/>
      <c r="F28" s="82"/>
      <c r="G28" s="82"/>
    </row>
    <row r="29" spans="1:7" ht="15" customHeight="1" x14ac:dyDescent="0.25">
      <c r="B29" s="119"/>
      <c r="C29" s="119"/>
      <c r="D29" s="119"/>
      <c r="E29" s="119"/>
      <c r="F29" s="83"/>
      <c r="G29" s="83"/>
    </row>
    <row r="30" spans="1:7" ht="15" customHeight="1" x14ac:dyDescent="0.25">
      <c r="B30" s="120"/>
      <c r="C30" s="120"/>
      <c r="D30" s="120"/>
      <c r="E30" s="120"/>
      <c r="F30" s="84"/>
      <c r="G30" s="84"/>
    </row>
    <row r="31" spans="1:7" ht="15" customHeight="1" x14ac:dyDescent="0.25">
      <c r="B31" s="121"/>
      <c r="C31" s="121"/>
      <c r="D31" s="121"/>
      <c r="E31" s="121"/>
      <c r="F31" s="85"/>
      <c r="G31" s="85"/>
    </row>
    <row r="32" spans="1:7" ht="15" customHeight="1" x14ac:dyDescent="0.25">
      <c r="B32" s="122"/>
      <c r="C32" s="122"/>
      <c r="D32" s="122"/>
      <c r="E32" s="122"/>
      <c r="F32" s="86"/>
      <c r="G32" s="86"/>
    </row>
    <row r="33" ht="19.5" customHeight="1" x14ac:dyDescent="0.25"/>
    <row r="34" ht="19.5" customHeight="1" x14ac:dyDescent="0.25"/>
    <row r="35" ht="19.5" customHeight="1" x14ac:dyDescent="0.25"/>
    <row r="36" ht="19.5" customHeight="1" x14ac:dyDescent="0.25"/>
    <row r="37" ht="19.5" customHeight="1" x14ac:dyDescent="0.25"/>
    <row r="38" ht="19.5" customHeight="1" x14ac:dyDescent="0.25"/>
    <row r="39" ht="19.5" customHeight="1" x14ac:dyDescent="0.25"/>
    <row r="40" ht="19.5" customHeight="1" x14ac:dyDescent="0.25"/>
    <row r="41" ht="19.5" customHeight="1" x14ac:dyDescent="0.25"/>
    <row r="42" ht="19.5" customHeight="1" x14ac:dyDescent="0.25"/>
    <row r="43" ht="19.5" customHeight="1" x14ac:dyDescent="0.25"/>
    <row r="44" ht="19.5" customHeight="1" x14ac:dyDescent="0.25"/>
  </sheetData>
  <mergeCells count="16">
    <mergeCell ref="B32:E32"/>
    <mergeCell ref="B27:G27"/>
    <mergeCell ref="B28:E28"/>
    <mergeCell ref="B29:E29"/>
    <mergeCell ref="B30:E30"/>
    <mergeCell ref="B31:E31"/>
    <mergeCell ref="B8:C9"/>
    <mergeCell ref="D8:E9"/>
    <mergeCell ref="F8:G9"/>
    <mergeCell ref="B11:G11"/>
    <mergeCell ref="B25:G25"/>
    <mergeCell ref="B2:G2"/>
    <mergeCell ref="B3:G3"/>
    <mergeCell ref="B5:C6"/>
    <mergeCell ref="D5:E6"/>
    <mergeCell ref="F5:G6"/>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28"/>
  <sheetViews>
    <sheetView zoomScaleNormal="100" workbookViewId="0">
      <selection activeCell="A18" sqref="A18"/>
    </sheetView>
  </sheetViews>
  <sheetFormatPr defaultColWidth="8.7109375" defaultRowHeight="15" x14ac:dyDescent="0.25"/>
  <cols>
    <col min="1" max="1" width="28.5703125" style="63" customWidth="1"/>
    <col min="2" max="2" width="23.7109375" style="63" customWidth="1"/>
  </cols>
  <sheetData>
    <row r="1" spans="1:2" ht="18" customHeight="1" x14ac:dyDescent="0.25">
      <c r="A1" s="87" t="s">
        <v>2</v>
      </c>
      <c r="B1" s="87" t="s">
        <v>186</v>
      </c>
    </row>
    <row r="2" spans="1:2" ht="16.5" customHeight="1" x14ac:dyDescent="0.25">
      <c r="A2" s="88" t="s">
        <v>27</v>
      </c>
      <c r="B2" s="89">
        <v>0</v>
      </c>
    </row>
    <row r="3" spans="1:2" ht="16.5" customHeight="1" x14ac:dyDescent="0.25">
      <c r="A3" s="88" t="s">
        <v>33</v>
      </c>
      <c r="B3" s="89">
        <v>0</v>
      </c>
    </row>
    <row r="4" spans="1:2" ht="16.5" customHeight="1" x14ac:dyDescent="0.25">
      <c r="A4" s="88" t="s">
        <v>69</v>
      </c>
      <c r="B4" s="89">
        <v>0</v>
      </c>
    </row>
    <row r="5" spans="1:2" ht="16.5" customHeight="1" x14ac:dyDescent="0.25">
      <c r="A5" s="88" t="s">
        <v>80</v>
      </c>
      <c r="B5" s="89">
        <v>0</v>
      </c>
    </row>
    <row r="6" spans="1:2" ht="16.5" customHeight="1" x14ac:dyDescent="0.25">
      <c r="A6" s="88" t="s">
        <v>107</v>
      </c>
      <c r="B6" s="89">
        <v>0</v>
      </c>
    </row>
    <row r="7" spans="1:2" ht="16.5" customHeight="1" x14ac:dyDescent="0.25">
      <c r="A7" s="88" t="s">
        <v>134</v>
      </c>
      <c r="B7" s="89">
        <v>0</v>
      </c>
    </row>
    <row r="8" spans="1:2" ht="16.5" customHeight="1" x14ac:dyDescent="0.3">
      <c r="A8" s="90" t="s">
        <v>170</v>
      </c>
      <c r="B8" s="91">
        <v>0</v>
      </c>
    </row>
    <row r="9" spans="1:2" ht="16.5" customHeight="1" x14ac:dyDescent="0.3">
      <c r="A9" s="90" t="s">
        <v>171</v>
      </c>
      <c r="B9" s="91">
        <v>0</v>
      </c>
    </row>
    <row r="10" spans="1:2" ht="16.5" customHeight="1" x14ac:dyDescent="0.3">
      <c r="A10" s="90" t="s">
        <v>172</v>
      </c>
      <c r="B10" s="91">
        <v>0</v>
      </c>
    </row>
    <row r="11" spans="1:2" ht="16.5" customHeight="1" x14ac:dyDescent="0.3">
      <c r="A11" s="90" t="s">
        <v>173</v>
      </c>
      <c r="B11" s="91">
        <v>0</v>
      </c>
    </row>
    <row r="12" spans="1:2" ht="16.5" customHeight="1" x14ac:dyDescent="0.3">
      <c r="A12" s="90" t="s">
        <v>174</v>
      </c>
      <c r="B12" s="91">
        <v>0</v>
      </c>
    </row>
    <row r="13" spans="1:2" ht="16.5" customHeight="1" x14ac:dyDescent="0.3">
      <c r="A13" s="90" t="s">
        <v>175</v>
      </c>
      <c r="B13" s="91">
        <v>0</v>
      </c>
    </row>
    <row r="14" spans="1:2" ht="15" customHeight="1" x14ac:dyDescent="0.25">
      <c r="B14" s="92"/>
    </row>
    <row r="15" spans="1:2" ht="15" customHeight="1" x14ac:dyDescent="0.25">
      <c r="B15" s="92"/>
    </row>
    <row r="16" spans="1:2" ht="15" customHeight="1" x14ac:dyDescent="0.25">
      <c r="B16" s="92"/>
    </row>
    <row r="17" spans="2:2" ht="15" customHeight="1" x14ac:dyDescent="0.25">
      <c r="B17" s="92"/>
    </row>
    <row r="18" spans="2:2" ht="15" customHeight="1" x14ac:dyDescent="0.25">
      <c r="B18" s="92"/>
    </row>
    <row r="19" spans="2:2" ht="15" customHeight="1" x14ac:dyDescent="0.25">
      <c r="B19" s="92"/>
    </row>
    <row r="20" spans="2:2" ht="15" customHeight="1" x14ac:dyDescent="0.25">
      <c r="B20" s="92"/>
    </row>
    <row r="21" spans="2:2" ht="15" customHeight="1" x14ac:dyDescent="0.25">
      <c r="B21" s="92"/>
    </row>
    <row r="22" spans="2:2" ht="15" customHeight="1" x14ac:dyDescent="0.25">
      <c r="B22" s="92"/>
    </row>
    <row r="23" spans="2:2" ht="15" customHeight="1" x14ac:dyDescent="0.25">
      <c r="B23" s="92"/>
    </row>
    <row r="24" spans="2:2" ht="15" customHeight="1" x14ac:dyDescent="0.25">
      <c r="B24" s="92"/>
    </row>
    <row r="25" spans="2:2" ht="15" customHeight="1" x14ac:dyDescent="0.25">
      <c r="B25" s="92"/>
    </row>
    <row r="26" spans="2:2" ht="15" customHeight="1" x14ac:dyDescent="0.25">
      <c r="B26" s="92"/>
    </row>
    <row r="27" spans="2:2" ht="15" customHeight="1" x14ac:dyDescent="0.25">
      <c r="B27" s="92"/>
    </row>
    <row r="28" spans="2:2" ht="15" customHeight="1" x14ac:dyDescent="0.25">
      <c r="B28" s="92"/>
    </row>
  </sheetData>
  <dataValidations count="1">
    <dataValidation type="list" allowBlank="1" showInputMessage="1" showErrorMessage="1" errorTitle="Nome inválido" error="Este nome não existe no Cadastro. Use a lista suspensa para selecionar um colaborador válido." promptTitle="Colaborador" prompt="Selecione o colaborador na lista. Somente nomes do Cadastro são permitidos." sqref="A2:A200" xr:uid="{00000000-0002-0000-0400-000000000000}">
      <formula1>Lista_Colaboradores</formula1>
      <formula2>0</formula2>
    </dataValidation>
  </dataValidations>
  <pageMargins left="0.51180555555555596" right="0.51180555555555596" top="0.78749999999999998" bottom="0.78749999999999998"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ABC9C"/>
  </sheetPr>
  <dimension ref="B2:C31"/>
  <sheetViews>
    <sheetView topLeftCell="A13" zoomScaleNormal="100" workbookViewId="0"/>
  </sheetViews>
  <sheetFormatPr defaultColWidth="8.7109375" defaultRowHeight="15" x14ac:dyDescent="0.25"/>
  <cols>
    <col min="1" max="1" width="3" customWidth="1"/>
    <col min="2" max="2" width="35" customWidth="1"/>
    <col min="3" max="3" width="75" customWidth="1"/>
    <col min="4" max="4" width="3" customWidth="1"/>
  </cols>
  <sheetData>
    <row r="2" spans="2:3" ht="36" customHeight="1" x14ac:dyDescent="0.25">
      <c r="B2" s="123" t="s">
        <v>230</v>
      </c>
      <c r="C2" s="123"/>
    </row>
    <row r="4" spans="2:3" ht="25.5" customHeight="1" x14ac:dyDescent="0.25">
      <c r="B4" s="124" t="s">
        <v>231</v>
      </c>
      <c r="C4" s="124"/>
    </row>
    <row r="5" spans="2:3" ht="42" customHeight="1" x14ac:dyDescent="0.25">
      <c r="B5" s="93" t="s">
        <v>232</v>
      </c>
      <c r="C5" s="94" t="s">
        <v>233</v>
      </c>
    </row>
    <row r="6" spans="2:3" ht="42" customHeight="1" x14ac:dyDescent="0.25">
      <c r="B6" s="93" t="s">
        <v>234</v>
      </c>
      <c r="C6" s="94" t="s">
        <v>235</v>
      </c>
    </row>
    <row r="7" spans="2:3" ht="42" customHeight="1" x14ac:dyDescent="0.25">
      <c r="B7" s="93" t="s">
        <v>95</v>
      </c>
      <c r="C7" s="94" t="s">
        <v>236</v>
      </c>
    </row>
    <row r="8" spans="2:3" ht="42" customHeight="1" x14ac:dyDescent="0.25">
      <c r="B8" s="93" t="s">
        <v>36</v>
      </c>
      <c r="C8" s="94" t="s">
        <v>237</v>
      </c>
    </row>
    <row r="9" spans="2:3" ht="42" customHeight="1" x14ac:dyDescent="0.25">
      <c r="B9" s="93" t="s">
        <v>31</v>
      </c>
      <c r="C9" s="94" t="s">
        <v>238</v>
      </c>
    </row>
    <row r="10" spans="2:3" ht="42" customHeight="1" x14ac:dyDescent="0.25">
      <c r="B10" s="93" t="s">
        <v>78</v>
      </c>
      <c r="C10" s="94" t="s">
        <v>239</v>
      </c>
    </row>
    <row r="11" spans="2:3" ht="7.5" customHeight="1" x14ac:dyDescent="0.25"/>
    <row r="12" spans="2:3" ht="25.5" customHeight="1" x14ac:dyDescent="0.25">
      <c r="B12" s="124" t="s">
        <v>240</v>
      </c>
      <c r="C12" s="124"/>
    </row>
    <row r="13" spans="2:3" ht="42" customHeight="1" x14ac:dyDescent="0.25">
      <c r="B13" s="93" t="s">
        <v>241</v>
      </c>
      <c r="C13" s="94" t="s">
        <v>242</v>
      </c>
    </row>
    <row r="14" spans="2:3" ht="42" customHeight="1" x14ac:dyDescent="0.25">
      <c r="B14" s="93" t="s">
        <v>243</v>
      </c>
      <c r="C14" s="94" t="s">
        <v>244</v>
      </c>
    </row>
    <row r="15" spans="2:3" ht="7.5" customHeight="1" x14ac:dyDescent="0.25"/>
    <row r="16" spans="2:3" ht="25.5" customHeight="1" x14ac:dyDescent="0.25">
      <c r="B16" s="124" t="s">
        <v>245</v>
      </c>
      <c r="C16" s="124"/>
    </row>
    <row r="17" spans="2:3" ht="42" customHeight="1" x14ac:dyDescent="0.25">
      <c r="B17" s="93" t="s">
        <v>246</v>
      </c>
      <c r="C17" s="94" t="s">
        <v>247</v>
      </c>
    </row>
    <row r="18" spans="2:3" ht="42" customHeight="1" x14ac:dyDescent="0.25">
      <c r="B18" s="93" t="s">
        <v>248</v>
      </c>
      <c r="C18" s="94" t="s">
        <v>249</v>
      </c>
    </row>
    <row r="19" spans="2:3" ht="7.5" customHeight="1" x14ac:dyDescent="0.25"/>
    <row r="20" spans="2:3" ht="25.5" customHeight="1" x14ac:dyDescent="0.25">
      <c r="B20" s="124" t="s">
        <v>250</v>
      </c>
      <c r="C20" s="124"/>
    </row>
    <row r="21" spans="2:3" ht="42" customHeight="1" x14ac:dyDescent="0.25">
      <c r="B21" s="93" t="s">
        <v>251</v>
      </c>
      <c r="C21" s="94" t="s">
        <v>252</v>
      </c>
    </row>
    <row r="22" spans="2:3" ht="42" customHeight="1" x14ac:dyDescent="0.25">
      <c r="B22" s="93" t="s">
        <v>253</v>
      </c>
      <c r="C22" s="94" t="s">
        <v>254</v>
      </c>
    </row>
    <row r="23" spans="2:3" ht="42" customHeight="1" x14ac:dyDescent="0.25">
      <c r="B23" s="93" t="s">
        <v>255</v>
      </c>
      <c r="C23" s="94" t="s">
        <v>256</v>
      </c>
    </row>
    <row r="24" spans="2:3" ht="42" customHeight="1" x14ac:dyDescent="0.25">
      <c r="B24" s="93" t="s">
        <v>257</v>
      </c>
      <c r="C24" s="94" t="s">
        <v>258</v>
      </c>
    </row>
    <row r="25" spans="2:3" ht="42" customHeight="1" x14ac:dyDescent="0.25">
      <c r="B25" s="93" t="s">
        <v>259</v>
      </c>
      <c r="C25" s="94" t="s">
        <v>260</v>
      </c>
    </row>
    <row r="26" spans="2:3" ht="42" customHeight="1" x14ac:dyDescent="0.25">
      <c r="B26" s="93" t="s">
        <v>261</v>
      </c>
      <c r="C26" s="94" t="s">
        <v>262</v>
      </c>
    </row>
    <row r="27" spans="2:3" ht="7.5" customHeight="1" x14ac:dyDescent="0.25"/>
    <row r="28" spans="2:3" ht="25.5" customHeight="1" x14ac:dyDescent="0.25">
      <c r="B28" s="124" t="s">
        <v>263</v>
      </c>
      <c r="C28" s="124"/>
    </row>
    <row r="29" spans="2:3" ht="42" customHeight="1" x14ac:dyDescent="0.25">
      <c r="B29" s="93" t="s">
        <v>264</v>
      </c>
      <c r="C29" s="94" t="s">
        <v>265</v>
      </c>
    </row>
    <row r="30" spans="2:3" ht="42" customHeight="1" x14ac:dyDescent="0.25">
      <c r="B30" s="93" t="s">
        <v>266</v>
      </c>
      <c r="C30" s="94" t="s">
        <v>267</v>
      </c>
    </row>
    <row r="31" spans="2:3" ht="42" customHeight="1" x14ac:dyDescent="0.25">
      <c r="B31" s="93" t="s">
        <v>268</v>
      </c>
      <c r="C31" s="94" t="s">
        <v>269</v>
      </c>
    </row>
  </sheetData>
  <mergeCells count="6">
    <mergeCell ref="B28:C28"/>
    <mergeCell ref="B2:C2"/>
    <mergeCell ref="B4:C4"/>
    <mergeCell ref="B12:C12"/>
    <mergeCell ref="B16:C16"/>
    <mergeCell ref="B20:C20"/>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4E79"/>
  </sheetPr>
  <dimension ref="A1:O54"/>
  <sheetViews>
    <sheetView showGridLines="0" topLeftCell="A28" zoomScaleNormal="100" workbookViewId="0">
      <selection sqref="A1:O3"/>
    </sheetView>
  </sheetViews>
  <sheetFormatPr defaultColWidth="8.7109375" defaultRowHeight="15" x14ac:dyDescent="0.25"/>
  <cols>
    <col min="1" max="15" width="8" customWidth="1"/>
  </cols>
  <sheetData>
    <row r="1" spans="1:15" ht="24.75" customHeight="1" x14ac:dyDescent="0.25">
      <c r="A1" s="127" t="s">
        <v>292</v>
      </c>
      <c r="B1" s="127"/>
      <c r="C1" s="127"/>
      <c r="D1" s="127"/>
      <c r="E1" s="127"/>
      <c r="F1" s="127"/>
      <c r="G1" s="127"/>
      <c r="H1" s="127"/>
      <c r="I1" s="127"/>
      <c r="J1" s="127"/>
      <c r="K1" s="127"/>
      <c r="L1" s="127"/>
      <c r="M1" s="127"/>
      <c r="N1" s="127"/>
      <c r="O1" s="127"/>
    </row>
    <row r="2" spans="1:15" ht="24.75" customHeight="1" x14ac:dyDescent="0.25">
      <c r="A2" s="127"/>
      <c r="B2" s="127"/>
      <c r="C2" s="127"/>
      <c r="D2" s="127"/>
      <c r="E2" s="127"/>
      <c r="F2" s="127"/>
      <c r="G2" s="127"/>
      <c r="H2" s="127"/>
      <c r="I2" s="127"/>
      <c r="J2" s="127"/>
      <c r="K2" s="127"/>
      <c r="L2" s="127"/>
      <c r="M2" s="127"/>
      <c r="N2" s="127"/>
      <c r="O2" s="127"/>
    </row>
    <row r="3" spans="1:15" ht="24.75" customHeight="1" x14ac:dyDescent="0.25">
      <c r="A3" s="127"/>
      <c r="B3" s="127"/>
      <c r="C3" s="127"/>
      <c r="D3" s="127"/>
      <c r="E3" s="127"/>
      <c r="F3" s="127"/>
      <c r="G3" s="127"/>
      <c r="H3" s="127"/>
      <c r="I3" s="127"/>
      <c r="J3" s="127"/>
      <c r="K3" s="127"/>
      <c r="L3" s="127"/>
      <c r="M3" s="127"/>
      <c r="N3" s="127"/>
      <c r="O3" s="127"/>
    </row>
    <row r="4" spans="1:15" ht="19.5" customHeight="1" x14ac:dyDescent="0.25">
      <c r="A4" s="128" t="s">
        <v>293</v>
      </c>
      <c r="B4" s="128"/>
      <c r="C4" s="128"/>
      <c r="D4" s="128"/>
      <c r="E4" s="128"/>
      <c r="F4" s="128"/>
      <c r="G4" s="128"/>
      <c r="H4" s="128"/>
      <c r="I4" s="128"/>
      <c r="J4" s="128"/>
      <c r="K4" s="128"/>
      <c r="L4" s="128"/>
      <c r="M4" s="128"/>
      <c r="N4" s="128"/>
      <c r="O4" s="128"/>
    </row>
    <row r="5" spans="1:15" ht="19.5" customHeight="1" x14ac:dyDescent="0.25"/>
    <row r="6" spans="1:15" ht="24.75" customHeight="1" x14ac:dyDescent="0.25">
      <c r="A6" s="129" t="s">
        <v>294</v>
      </c>
      <c r="B6" s="129"/>
      <c r="C6" s="129"/>
      <c r="D6" s="129"/>
      <c r="E6" s="129"/>
      <c r="F6" s="129"/>
      <c r="G6" s="129"/>
      <c r="H6" s="129"/>
      <c r="I6" s="129"/>
      <c r="J6" s="129"/>
      <c r="K6" s="129"/>
      <c r="L6" s="129"/>
      <c r="M6" s="129"/>
      <c r="N6" s="129"/>
      <c r="O6" s="129"/>
    </row>
    <row r="7" spans="1:15" ht="19.5" customHeight="1" x14ac:dyDescent="0.25">
      <c r="A7" s="130" t="s">
        <v>295</v>
      </c>
      <c r="B7" s="130"/>
      <c r="C7" s="130"/>
      <c r="D7" s="130"/>
      <c r="F7" s="131" t="s">
        <v>296</v>
      </c>
      <c r="G7" s="131"/>
      <c r="H7" s="131"/>
      <c r="I7" s="131"/>
      <c r="K7" s="132" t="s">
        <v>297</v>
      </c>
      <c r="L7" s="132"/>
      <c r="M7" s="132"/>
      <c r="N7" s="132"/>
    </row>
    <row r="8" spans="1:15" ht="19.5" customHeight="1" x14ac:dyDescent="0.25">
      <c r="A8" s="130"/>
      <c r="B8" s="130"/>
      <c r="C8" s="130"/>
      <c r="D8" s="130"/>
      <c r="F8" s="131"/>
      <c r="G8" s="131"/>
      <c r="H8" s="131"/>
      <c r="I8" s="131"/>
      <c r="K8" s="132"/>
      <c r="L8" s="132"/>
      <c r="M8" s="132"/>
      <c r="N8" s="132"/>
    </row>
    <row r="9" spans="1:15" ht="19.5" customHeight="1" x14ac:dyDescent="0.25">
      <c r="A9" s="133">
        <f>COUNTIF(BatidasOCR!N:N,"Extraído")+COUNTIF(BatidasOCR!N:N,"Revisado")</f>
        <v>0</v>
      </c>
      <c r="B9" s="133"/>
      <c r="C9" s="133"/>
      <c r="D9" s="133"/>
      <c r="F9" s="134">
        <f>COUNTIF(ApuracaoAutomatica!L:L,"Pendente")</f>
        <v>0</v>
      </c>
      <c r="G9" s="134"/>
      <c r="H9" s="134"/>
      <c r="I9" s="134"/>
      <c r="K9" s="135">
        <f>COUNTIF(ApuracaoAutomatica!L:L,"Aprovado")</f>
        <v>0</v>
      </c>
      <c r="L9" s="135"/>
      <c r="M9" s="135"/>
      <c r="N9" s="135"/>
    </row>
    <row r="10" spans="1:15" ht="19.5" customHeight="1" x14ac:dyDescent="0.25">
      <c r="A10" s="133"/>
      <c r="B10" s="133"/>
      <c r="C10" s="133"/>
      <c r="D10" s="133"/>
      <c r="F10" s="134"/>
      <c r="G10" s="134"/>
      <c r="H10" s="134"/>
      <c r="I10" s="134"/>
      <c r="K10" s="135"/>
      <c r="L10" s="135"/>
      <c r="M10" s="135"/>
      <c r="N10" s="135"/>
    </row>
    <row r="11" spans="1:15" ht="19.5" customHeight="1" x14ac:dyDescent="0.25"/>
    <row r="12" spans="1:15" ht="19.5" customHeight="1" x14ac:dyDescent="0.25">
      <c r="A12" s="136" t="s">
        <v>298</v>
      </c>
      <c r="B12" s="136"/>
      <c r="C12" s="136"/>
      <c r="D12" s="136"/>
      <c r="E12" s="136"/>
      <c r="F12" s="136"/>
      <c r="G12" s="136"/>
      <c r="H12" s="136"/>
      <c r="I12" s="136"/>
      <c r="J12" s="136"/>
      <c r="K12" s="136"/>
      <c r="L12" s="136"/>
      <c r="M12" s="136"/>
      <c r="N12" s="136"/>
      <c r="O12" s="136"/>
    </row>
    <row r="13" spans="1:15" ht="19.5" customHeight="1" x14ac:dyDescent="0.25">
      <c r="A13" s="137" t="str">
        <f>IFERROR(TEXT(MAX(ControleOCR!B:B),"DD/MM/AAAA HH:MM")&amp;"  — Arquivo: "&amp;INDEX(ControleOCR!C:C,MATCH(MAX(ControleOCR!B:B),ControleOCR!B:B,0)),"Nenhuma importação registrada")</f>
        <v>Nenhuma importação registrada</v>
      </c>
      <c r="B13" s="137"/>
      <c r="C13" s="137"/>
      <c r="D13" s="137"/>
      <c r="E13" s="137"/>
      <c r="F13" s="137"/>
      <c r="G13" s="137"/>
      <c r="H13" s="137"/>
      <c r="I13" s="137"/>
      <c r="J13" s="137"/>
      <c r="K13" s="137"/>
      <c r="L13" s="137"/>
      <c r="M13" s="137"/>
      <c r="N13" s="137"/>
      <c r="O13" s="137"/>
    </row>
    <row r="14" spans="1:15" ht="19.5" customHeight="1" x14ac:dyDescent="0.25"/>
    <row r="15" spans="1:15" ht="12" customHeight="1" x14ac:dyDescent="0.25"/>
    <row r="16" spans="1:15" ht="19.5" customHeight="1" x14ac:dyDescent="0.25">
      <c r="A16" s="129" t="s">
        <v>299</v>
      </c>
      <c r="B16" s="129"/>
      <c r="C16" s="129"/>
      <c r="D16" s="129"/>
      <c r="E16" s="129"/>
      <c r="F16" s="129"/>
      <c r="G16" s="129"/>
      <c r="H16" s="129"/>
      <c r="I16" s="129"/>
      <c r="J16" s="129"/>
      <c r="K16" s="129"/>
      <c r="L16" s="129"/>
      <c r="M16" s="129"/>
      <c r="N16" s="129"/>
      <c r="O16" s="129"/>
    </row>
    <row r="17" spans="1:15" ht="21.75" customHeight="1" x14ac:dyDescent="0.25">
      <c r="A17" s="138" t="s">
        <v>300</v>
      </c>
      <c r="B17" s="138"/>
      <c r="C17" s="138"/>
      <c r="D17" s="138"/>
      <c r="E17" s="138"/>
      <c r="F17" s="138"/>
      <c r="G17" s="138"/>
      <c r="H17" s="138"/>
      <c r="I17" s="138"/>
      <c r="J17" s="139" t="s">
        <v>301</v>
      </c>
      <c r="K17" s="139"/>
      <c r="L17" s="139"/>
      <c r="M17" s="139"/>
      <c r="N17" s="139"/>
      <c r="O17" s="139"/>
    </row>
    <row r="18" spans="1:15" ht="19.5" customHeight="1" x14ac:dyDescent="0.25"/>
    <row r="19" spans="1:15" ht="21.75" customHeight="1" x14ac:dyDescent="0.25">
      <c r="A19" s="140" t="s">
        <v>302</v>
      </c>
      <c r="B19" s="140"/>
      <c r="C19" s="140"/>
      <c r="D19" s="140"/>
      <c r="E19" s="140"/>
      <c r="F19" s="140"/>
      <c r="G19" s="140"/>
      <c r="H19" s="140"/>
      <c r="I19" s="140"/>
      <c r="J19" s="139" t="s">
        <v>303</v>
      </c>
      <c r="K19" s="139"/>
      <c r="L19" s="139"/>
      <c r="M19" s="139"/>
      <c r="N19" s="139"/>
      <c r="O19" s="139"/>
    </row>
    <row r="20" spans="1:15" ht="19.5" customHeight="1" x14ac:dyDescent="0.25"/>
    <row r="21" spans="1:15" ht="21.75" customHeight="1" x14ac:dyDescent="0.25">
      <c r="A21" s="141" t="s">
        <v>304</v>
      </c>
      <c r="B21" s="141"/>
      <c r="C21" s="141"/>
      <c r="D21" s="141"/>
      <c r="E21" s="141"/>
      <c r="F21" s="141"/>
      <c r="G21" s="141"/>
      <c r="H21" s="141"/>
      <c r="I21" s="141"/>
      <c r="J21" s="139" t="s">
        <v>305</v>
      </c>
      <c r="K21" s="139"/>
      <c r="L21" s="139"/>
      <c r="M21" s="139"/>
      <c r="N21" s="139"/>
      <c r="O21" s="139"/>
    </row>
    <row r="22" spans="1:15" ht="19.5" customHeight="1" x14ac:dyDescent="0.25"/>
    <row r="23" spans="1:15" ht="21.75" customHeight="1" x14ac:dyDescent="0.25">
      <c r="A23" s="142" t="s">
        <v>306</v>
      </c>
      <c r="B23" s="142"/>
      <c r="C23" s="142"/>
      <c r="D23" s="142"/>
      <c r="E23" s="142"/>
      <c r="F23" s="142"/>
      <c r="G23" s="142"/>
      <c r="H23" s="142"/>
      <c r="I23" s="142"/>
      <c r="J23" s="139" t="s">
        <v>307</v>
      </c>
      <c r="K23" s="139"/>
      <c r="L23" s="139"/>
      <c r="M23" s="139"/>
      <c r="N23" s="139"/>
      <c r="O23" s="139"/>
    </row>
    <row r="24" spans="1:15" ht="19.5" customHeight="1" x14ac:dyDescent="0.25"/>
    <row r="25" spans="1:15" ht="21.75" customHeight="1" x14ac:dyDescent="0.25">
      <c r="A25" s="143" t="s">
        <v>308</v>
      </c>
      <c r="B25" s="143"/>
      <c r="C25" s="143"/>
      <c r="D25" s="143"/>
      <c r="E25" s="143"/>
      <c r="F25" s="143"/>
      <c r="G25" s="143"/>
      <c r="H25" s="143"/>
      <c r="I25" s="143"/>
      <c r="J25" s="139" t="s">
        <v>309</v>
      </c>
      <c r="K25" s="139"/>
      <c r="L25" s="139"/>
      <c r="M25" s="139"/>
      <c r="N25" s="139"/>
      <c r="O25" s="139"/>
    </row>
    <row r="26" spans="1:15" ht="19.5" customHeight="1" x14ac:dyDescent="0.25"/>
    <row r="27" spans="1:15" ht="21.75" customHeight="1" x14ac:dyDescent="0.25">
      <c r="A27" s="144" t="s">
        <v>310</v>
      </c>
      <c r="B27" s="144"/>
      <c r="C27" s="144"/>
      <c r="D27" s="144"/>
      <c r="E27" s="144"/>
      <c r="F27" s="144"/>
      <c r="G27" s="144"/>
      <c r="H27" s="144"/>
      <c r="I27" s="144"/>
      <c r="J27" s="139" t="s">
        <v>311</v>
      </c>
      <c r="K27" s="139"/>
      <c r="L27" s="139"/>
      <c r="M27" s="139"/>
      <c r="N27" s="139"/>
      <c r="O27" s="139"/>
    </row>
    <row r="28" spans="1:15" ht="19.5" customHeight="1" x14ac:dyDescent="0.25"/>
    <row r="29" spans="1:15" ht="19.5" customHeight="1" x14ac:dyDescent="0.25"/>
    <row r="30" spans="1:15" ht="21.75" customHeight="1" x14ac:dyDescent="0.25">
      <c r="A30" s="145" t="s">
        <v>312</v>
      </c>
      <c r="B30" s="145"/>
      <c r="C30" s="145"/>
      <c r="D30" s="145"/>
      <c r="E30" s="145"/>
      <c r="F30" s="145"/>
      <c r="G30" s="145"/>
      <c r="H30" s="145"/>
      <c r="I30" s="145"/>
      <c r="J30" s="145"/>
      <c r="K30" s="145"/>
      <c r="L30" s="145"/>
      <c r="M30" s="145"/>
      <c r="N30" s="145"/>
      <c r="O30" s="145"/>
    </row>
    <row r="31" spans="1:15" ht="19.5" customHeight="1" x14ac:dyDescent="0.25">
      <c r="A31" s="96" t="s">
        <v>313</v>
      </c>
      <c r="B31" s="146" t="s">
        <v>314</v>
      </c>
      <c r="C31" s="146"/>
      <c r="D31" s="146"/>
      <c r="E31" s="146"/>
      <c r="F31" s="146"/>
      <c r="G31" s="146"/>
      <c r="H31" s="146"/>
      <c r="I31" s="146"/>
      <c r="J31" s="146"/>
      <c r="K31" s="146"/>
      <c r="L31" s="146"/>
      <c r="M31" s="146"/>
      <c r="N31" s="146"/>
      <c r="O31" s="146"/>
    </row>
    <row r="32" spans="1:15" ht="19.5" customHeight="1" x14ac:dyDescent="0.25">
      <c r="A32" s="96" t="s">
        <v>315</v>
      </c>
      <c r="B32" s="146" t="s">
        <v>316</v>
      </c>
      <c r="C32" s="146"/>
      <c r="D32" s="146"/>
      <c r="E32" s="146"/>
      <c r="F32" s="146"/>
      <c r="G32" s="146"/>
      <c r="H32" s="146"/>
      <c r="I32" s="146"/>
      <c r="J32" s="146"/>
      <c r="K32" s="146"/>
      <c r="L32" s="146"/>
      <c r="M32" s="146"/>
      <c r="N32" s="146"/>
      <c r="O32" s="146"/>
    </row>
    <row r="33" spans="1:15" ht="19.5" customHeight="1" x14ac:dyDescent="0.25">
      <c r="A33" s="96" t="s">
        <v>317</v>
      </c>
      <c r="B33" s="146" t="s">
        <v>318</v>
      </c>
      <c r="C33" s="146"/>
      <c r="D33" s="146"/>
      <c r="E33" s="146"/>
      <c r="F33" s="146"/>
      <c r="G33" s="146"/>
      <c r="H33" s="146"/>
      <c r="I33" s="146"/>
      <c r="J33" s="146"/>
      <c r="K33" s="146"/>
      <c r="L33" s="146"/>
      <c r="M33" s="146"/>
      <c r="N33" s="146"/>
      <c r="O33" s="146"/>
    </row>
    <row r="34" spans="1:15" ht="19.5" customHeight="1" x14ac:dyDescent="0.25">
      <c r="A34" s="96" t="s">
        <v>319</v>
      </c>
      <c r="B34" s="146" t="s">
        <v>320</v>
      </c>
      <c r="C34" s="146"/>
      <c r="D34" s="146"/>
      <c r="E34" s="146"/>
      <c r="F34" s="146"/>
      <c r="G34" s="146"/>
      <c r="H34" s="146"/>
      <c r="I34" s="146"/>
      <c r="J34" s="146"/>
      <c r="K34" s="146"/>
      <c r="L34" s="146"/>
      <c r="M34" s="146"/>
      <c r="N34" s="146"/>
      <c r="O34" s="146"/>
    </row>
    <row r="35" spans="1:15" ht="19.5" customHeight="1" x14ac:dyDescent="0.25">
      <c r="A35" s="96" t="s">
        <v>321</v>
      </c>
      <c r="B35" s="146" t="s">
        <v>322</v>
      </c>
      <c r="C35" s="146"/>
      <c r="D35" s="146"/>
      <c r="E35" s="146"/>
      <c r="F35" s="146"/>
      <c r="G35" s="146"/>
      <c r="H35" s="146"/>
      <c r="I35" s="146"/>
      <c r="J35" s="146"/>
      <c r="K35" s="146"/>
      <c r="L35" s="146"/>
      <c r="M35" s="146"/>
      <c r="N35" s="146"/>
      <c r="O35" s="146"/>
    </row>
    <row r="36" spans="1:15" ht="19.5" customHeight="1" x14ac:dyDescent="0.25">
      <c r="A36" s="96" t="s">
        <v>323</v>
      </c>
      <c r="B36" s="146" t="s">
        <v>324</v>
      </c>
      <c r="C36" s="146"/>
      <c r="D36" s="146"/>
      <c r="E36" s="146"/>
      <c r="F36" s="146"/>
      <c r="G36" s="146"/>
      <c r="H36" s="146"/>
      <c r="I36" s="146"/>
      <c r="J36" s="146"/>
      <c r="K36" s="146"/>
      <c r="L36" s="146"/>
      <c r="M36" s="146"/>
      <c r="N36" s="146"/>
      <c r="O36" s="146"/>
    </row>
    <row r="37" spans="1:15" ht="19.5" customHeight="1" x14ac:dyDescent="0.25">
      <c r="A37" s="96" t="s">
        <v>325</v>
      </c>
      <c r="B37" s="146" t="s">
        <v>326</v>
      </c>
      <c r="C37" s="146"/>
      <c r="D37" s="146"/>
      <c r="E37" s="146"/>
      <c r="F37" s="146"/>
      <c r="G37" s="146"/>
      <c r="H37" s="146"/>
      <c r="I37" s="146"/>
      <c r="J37" s="146"/>
      <c r="K37" s="146"/>
      <c r="L37" s="146"/>
      <c r="M37" s="146"/>
      <c r="N37" s="146"/>
      <c r="O37" s="146"/>
    </row>
    <row r="38" spans="1:15" ht="19.5" customHeight="1" x14ac:dyDescent="0.25"/>
    <row r="39" spans="1:15" ht="19.5" customHeight="1" x14ac:dyDescent="0.25"/>
    <row r="40" spans="1:15" ht="19.5" customHeight="1" x14ac:dyDescent="0.25">
      <c r="A40" s="147" t="s">
        <v>327</v>
      </c>
      <c r="B40" s="147"/>
      <c r="C40" s="147"/>
      <c r="D40" s="147"/>
      <c r="E40" s="147"/>
      <c r="F40" s="147"/>
      <c r="G40" s="147"/>
      <c r="H40" s="147"/>
      <c r="I40" s="147"/>
      <c r="J40" s="147"/>
      <c r="K40" s="147"/>
      <c r="L40" s="147"/>
      <c r="M40" s="147"/>
      <c r="N40" s="147"/>
      <c r="O40" s="147"/>
    </row>
    <row r="41" spans="1:15" ht="19.5" customHeight="1" x14ac:dyDescent="0.25"/>
    <row r="42" spans="1:15" ht="19.5" customHeight="1" x14ac:dyDescent="0.25"/>
    <row r="43" spans="1:15" ht="19.5" customHeight="1" x14ac:dyDescent="0.25"/>
    <row r="44" spans="1:15" ht="19.5" customHeight="1" x14ac:dyDescent="0.25"/>
    <row r="45" spans="1:15" ht="19.5" customHeight="1" x14ac:dyDescent="0.25"/>
    <row r="46" spans="1:15" ht="19.5" customHeight="1" x14ac:dyDescent="0.25"/>
    <row r="47" spans="1:15" ht="19.5" customHeight="1" x14ac:dyDescent="0.25"/>
    <row r="48" spans="1:15" ht="19.5" customHeight="1" x14ac:dyDescent="0.25"/>
    <row r="49" ht="19.5" customHeight="1" x14ac:dyDescent="0.25"/>
    <row r="50" ht="19.5" customHeight="1" x14ac:dyDescent="0.25"/>
    <row r="51" ht="19.5" customHeight="1" x14ac:dyDescent="0.25"/>
    <row r="52" ht="19.5" customHeight="1" x14ac:dyDescent="0.25"/>
    <row r="53" ht="19.5" customHeight="1" x14ac:dyDescent="0.25"/>
    <row r="54" ht="19.5" customHeight="1" x14ac:dyDescent="0.25"/>
  </sheetData>
  <mergeCells count="33">
    <mergeCell ref="A40:O40"/>
    <mergeCell ref="B33:O33"/>
    <mergeCell ref="B34:O34"/>
    <mergeCell ref="B35:O35"/>
    <mergeCell ref="B36:O36"/>
    <mergeCell ref="B37:O37"/>
    <mergeCell ref="A27:I27"/>
    <mergeCell ref="J27:O27"/>
    <mergeCell ref="A30:O30"/>
    <mergeCell ref="B31:O31"/>
    <mergeCell ref="B32:O32"/>
    <mergeCell ref="A21:I21"/>
    <mergeCell ref="J21:O21"/>
    <mergeCell ref="A23:I23"/>
    <mergeCell ref="J23:O23"/>
    <mergeCell ref="A25:I25"/>
    <mergeCell ref="J25:O25"/>
    <mergeCell ref="A16:O16"/>
    <mergeCell ref="A17:I17"/>
    <mergeCell ref="J17:O17"/>
    <mergeCell ref="A19:I19"/>
    <mergeCell ref="J19:O19"/>
    <mergeCell ref="A9:D10"/>
    <mergeCell ref="F9:I10"/>
    <mergeCell ref="K9:N10"/>
    <mergeCell ref="A12:O12"/>
    <mergeCell ref="A13:O13"/>
    <mergeCell ref="A1:O3"/>
    <mergeCell ref="A4:O4"/>
    <mergeCell ref="A6:O6"/>
    <mergeCell ref="A7:D8"/>
    <mergeCell ref="F7:I8"/>
    <mergeCell ref="K7:N8"/>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7030A0"/>
  </sheetPr>
  <dimension ref="A1:B3"/>
  <sheetViews>
    <sheetView showGridLines="0" zoomScaleNormal="100" workbookViewId="0">
      <selection activeCell="B3" sqref="B3"/>
    </sheetView>
  </sheetViews>
  <sheetFormatPr defaultColWidth="8.7109375" defaultRowHeight="15" x14ac:dyDescent="0.25"/>
  <cols>
    <col min="1" max="1" width="15" customWidth="1"/>
    <col min="2" max="2" width="140" customWidth="1"/>
  </cols>
  <sheetData>
    <row r="1" spans="1:2" ht="30" customHeight="1" x14ac:dyDescent="0.25">
      <c r="A1" s="148" t="s">
        <v>328</v>
      </c>
      <c r="B1" s="148"/>
    </row>
    <row r="2" spans="1:2" ht="24.75" customHeight="1" x14ac:dyDescent="0.25">
      <c r="A2" s="149" t="s">
        <v>329</v>
      </c>
      <c r="B2" s="149"/>
    </row>
    <row r="3" spans="1:2" ht="409.6" customHeight="1" x14ac:dyDescent="0.25">
      <c r="A3" s="97" t="s">
        <v>330</v>
      </c>
      <c r="B3" s="98" t="s">
        <v>331</v>
      </c>
    </row>
  </sheetData>
  <mergeCells count="2">
    <mergeCell ref="A1:B1"/>
    <mergeCell ref="A2:B2"/>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2E75B6"/>
  </sheetPr>
  <dimension ref="A1:C30"/>
  <sheetViews>
    <sheetView zoomScaleNormal="100" workbookViewId="0">
      <selection activeCell="A13" sqref="A13"/>
    </sheetView>
  </sheetViews>
  <sheetFormatPr defaultColWidth="8.7109375" defaultRowHeight="15" x14ac:dyDescent="0.25"/>
  <cols>
    <col min="1" max="1" width="49.5703125" customWidth="1"/>
  </cols>
  <sheetData>
    <row r="1" spans="1:3" ht="21.75" customHeight="1" x14ac:dyDescent="0.25">
      <c r="A1" s="150" t="s">
        <v>332</v>
      </c>
      <c r="B1" s="150"/>
      <c r="C1" s="150"/>
    </row>
    <row r="2" spans="1:3" ht="15" customHeight="1" x14ac:dyDescent="0.25">
      <c r="A2" s="99" t="s">
        <v>333</v>
      </c>
    </row>
    <row r="3" spans="1:3" ht="15" customHeight="1" x14ac:dyDescent="0.25">
      <c r="A3" s="100" t="s">
        <v>179</v>
      </c>
    </row>
    <row r="4" spans="1:3" ht="15" customHeight="1" x14ac:dyDescent="0.25">
      <c r="A4" s="101" t="str">
        <f>IFERROR(INDEX(TblCadastro[NOME COMPLETO],ROW()-3),"")</f>
        <v>Amanda Curcino dos Santos</v>
      </c>
    </row>
    <row r="5" spans="1:3" ht="15" customHeight="1" x14ac:dyDescent="0.25">
      <c r="A5" s="101" t="str">
        <f>IFERROR(INDEX(TblCadastro[NOME COMPLETO],ROW()-3),"")</f>
        <v>Emanuelly Ribeiro de Aguiar</v>
      </c>
    </row>
    <row r="6" spans="1:3" ht="15" customHeight="1" x14ac:dyDescent="0.25">
      <c r="A6" s="101" t="str">
        <f>IFERROR(INDEX(TblCadastro[NOME COMPLETO],ROW()-3),"")</f>
        <v>Geovana Rodrigues Oliveira</v>
      </c>
    </row>
    <row r="7" spans="1:3" ht="15" customHeight="1" x14ac:dyDescent="0.25">
      <c r="A7" s="101" t="str">
        <f>IFERROR(INDEX(TblCadastro[NOME COMPLETO],ROW()-3),"")</f>
        <v>Laisi Silva Ferreira</v>
      </c>
    </row>
    <row r="8" spans="1:3" ht="15" customHeight="1" x14ac:dyDescent="0.25">
      <c r="A8" s="101" t="str">
        <f>IFERROR(INDEX(TblCadastro[NOME COMPLETO],ROW()-3),"")</f>
        <v>Lizandra Ferreira Alves</v>
      </c>
    </row>
    <row r="9" spans="1:3" ht="15" customHeight="1" x14ac:dyDescent="0.25">
      <c r="A9" s="101" t="str">
        <f>IFERROR(INDEX(TblCadastro[NOME COMPLETO],ROW()-3),"")</f>
        <v>Matheus Silva de Sousa</v>
      </c>
    </row>
    <row r="10" spans="1:3" ht="15" customHeight="1" x14ac:dyDescent="0.25">
      <c r="A10" s="101" t="str">
        <f>IFERROR(INDEX(TblCadastro[NOME COMPLETO],ROW()-3),"")</f>
        <v>Marinete Soares Rodrigues</v>
      </c>
    </row>
    <row r="11" spans="1:3" ht="15" customHeight="1" x14ac:dyDescent="0.25">
      <c r="A11" s="101" t="str">
        <f>IFERROR(INDEX(TblCadastro[NOME COMPLETO],ROW()-3),"")</f>
        <v>Kayo Folha Alves</v>
      </c>
    </row>
    <row r="12" spans="1:3" ht="15" customHeight="1" x14ac:dyDescent="0.25">
      <c r="A12" s="101" t="str">
        <f>IFERROR(INDEX(TblCadastro[NOME COMPLETO],ROW()-3),"")</f>
        <v>Adailton Folha Filho</v>
      </c>
    </row>
    <row r="13" spans="1:3" ht="15" customHeight="1" x14ac:dyDescent="0.25">
      <c r="A13" s="101" t="str">
        <f>IFERROR(INDEX(TblCadastro[NOME COMPLETO],ROW()-3),"")</f>
        <v>Luana Oliveira</v>
      </c>
    </row>
    <row r="14" spans="1:3" ht="15" customHeight="1" x14ac:dyDescent="0.25">
      <c r="A14" s="101" t="str">
        <f>IFERROR(INDEX(TblCadastro[NOME COMPLETO],ROW()-3),"")</f>
        <v>Pedro Henrique</v>
      </c>
    </row>
    <row r="15" spans="1:3" ht="15" customHeight="1" x14ac:dyDescent="0.25">
      <c r="A15" s="101" t="str">
        <f>IFERROR(INDEX(TblCadastro[NOME COMPLETO],ROW()-3),"")</f>
        <v>Maria</v>
      </c>
    </row>
    <row r="16" spans="1:3" ht="15" customHeight="1" x14ac:dyDescent="0.25">
      <c r="A16" s="101" t="str">
        <f>IFERROR(INDEX(TblCadastro[NOME COMPLETO],ROW()-3),"")</f>
        <v/>
      </c>
    </row>
    <row r="17" spans="1:1" ht="15" customHeight="1" x14ac:dyDescent="0.25">
      <c r="A17" s="101" t="str">
        <f>IFERROR(INDEX(TblCadastro[NOME COMPLETO],ROW()-3),"")</f>
        <v/>
      </c>
    </row>
    <row r="18" spans="1:1" ht="15" customHeight="1" x14ac:dyDescent="0.25">
      <c r="A18" s="101" t="str">
        <f>IFERROR(INDEX(TblCadastro[NOME COMPLETO],ROW()-3),"")</f>
        <v/>
      </c>
    </row>
    <row r="19" spans="1:1" ht="15" customHeight="1" x14ac:dyDescent="0.25">
      <c r="A19" s="101" t="str">
        <f>IFERROR(INDEX(TblCadastro[NOME COMPLETO],ROW()-3),"")</f>
        <v/>
      </c>
    </row>
    <row r="20" spans="1:1" ht="15" customHeight="1" x14ac:dyDescent="0.25">
      <c r="A20" s="101" t="str">
        <f>IFERROR(INDEX(TblCadastro[NOME COMPLETO],ROW()-3),"")</f>
        <v/>
      </c>
    </row>
    <row r="21" spans="1:1" ht="15" customHeight="1" x14ac:dyDescent="0.25">
      <c r="A21" s="101" t="str">
        <f>IFERROR(INDEX(TblCadastro[NOME COMPLETO],ROW()-3),"")</f>
        <v/>
      </c>
    </row>
    <row r="22" spans="1:1" ht="15" customHeight="1" x14ac:dyDescent="0.25">
      <c r="A22" s="101" t="str">
        <f>IFERROR(INDEX(TblCadastro[NOME COMPLETO],ROW()-3),"")</f>
        <v/>
      </c>
    </row>
    <row r="23" spans="1:1" ht="15" customHeight="1" x14ac:dyDescent="0.25">
      <c r="A23" s="101" t="str">
        <f>IFERROR(INDEX(TblCadastro[NOME COMPLETO],ROW()-3),"")</f>
        <v/>
      </c>
    </row>
    <row r="24" spans="1:1" ht="15" customHeight="1" x14ac:dyDescent="0.25">
      <c r="A24" s="101" t="str">
        <f>IFERROR(INDEX(TblCadastro[NOME COMPLETO],ROW()-3),"")</f>
        <v/>
      </c>
    </row>
    <row r="25" spans="1:1" ht="15" customHeight="1" x14ac:dyDescent="0.25">
      <c r="A25" s="101" t="str">
        <f>IFERROR(INDEX(TblCadastro[NOME COMPLETO],ROW()-3),"")</f>
        <v/>
      </c>
    </row>
    <row r="26" spans="1:1" ht="15" customHeight="1" x14ac:dyDescent="0.25">
      <c r="A26" s="101" t="str">
        <f>IFERROR(INDEX(TblCadastro[NOME COMPLETO],ROW()-3),"")</f>
        <v/>
      </c>
    </row>
    <row r="27" spans="1:1" ht="15" customHeight="1" x14ac:dyDescent="0.25">
      <c r="A27" s="101" t="str">
        <f>IFERROR(INDEX(TblCadastro[NOME COMPLETO],ROW()-3),"")</f>
        <v/>
      </c>
    </row>
    <row r="28" spans="1:1" ht="15" customHeight="1" x14ac:dyDescent="0.25">
      <c r="A28" s="101" t="str">
        <f>IFERROR(INDEX(TblCadastro[NOME COMPLETO],ROW()-3),"")</f>
        <v/>
      </c>
    </row>
    <row r="29" spans="1:1" ht="15" customHeight="1" x14ac:dyDescent="0.25">
      <c r="A29" s="101" t="str">
        <f>IFERROR(INDEX(TblCadastro[NOME COMPLETO],ROW()-3),"")</f>
        <v/>
      </c>
    </row>
    <row r="30" spans="1:1" ht="15" customHeight="1" x14ac:dyDescent="0.25">
      <c r="A30" s="101" t="str">
        <f>IFERROR(INDEX(TblCadastro[NOME COMPLETO],ROW()-3),"")</f>
        <v/>
      </c>
    </row>
  </sheetData>
  <mergeCells count="1">
    <mergeCell ref="A1:C1"/>
  </mergeCells>
  <pageMargins left="0.51180555555555596" right="0.51180555555555596" top="0.78749999999999998" bottom="0.78749999999999998"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7030A0"/>
  </sheetPr>
  <dimension ref="A1:C9"/>
  <sheetViews>
    <sheetView zoomScaleNormal="100" workbookViewId="0">
      <selection sqref="A1:C1"/>
    </sheetView>
  </sheetViews>
  <sheetFormatPr defaultColWidth="8.7109375" defaultRowHeight="15" x14ac:dyDescent="0.25"/>
  <cols>
    <col min="1" max="1" width="40" customWidth="1"/>
    <col min="2" max="2" width="65" customWidth="1"/>
    <col min="3" max="3" width="40" customWidth="1"/>
  </cols>
  <sheetData>
    <row r="1" spans="1:3" ht="27.75" customHeight="1" x14ac:dyDescent="0.25">
      <c r="A1" s="151" t="s">
        <v>334</v>
      </c>
      <c r="B1" s="151"/>
      <c r="C1" s="151"/>
    </row>
    <row r="2" spans="1:3" ht="30" customHeight="1" x14ac:dyDescent="0.25">
      <c r="A2" s="102" t="s">
        <v>335</v>
      </c>
      <c r="B2" s="102" t="s">
        <v>336</v>
      </c>
      <c r="C2" s="102" t="s">
        <v>337</v>
      </c>
    </row>
    <row r="3" spans="1:3" ht="30" customHeight="1" x14ac:dyDescent="0.25">
      <c r="A3" s="103" t="s">
        <v>338</v>
      </c>
      <c r="B3" s="103" t="s">
        <v>339</v>
      </c>
      <c r="C3" s="103" t="s">
        <v>340</v>
      </c>
    </row>
    <row r="4" spans="1:3" ht="30" customHeight="1" x14ac:dyDescent="0.25">
      <c r="A4" s="104" t="s">
        <v>341</v>
      </c>
      <c r="B4" s="104" t="s">
        <v>342</v>
      </c>
      <c r="C4" s="104" t="s">
        <v>343</v>
      </c>
    </row>
    <row r="5" spans="1:3" ht="30" customHeight="1" x14ac:dyDescent="0.25">
      <c r="A5" s="103" t="s">
        <v>344</v>
      </c>
      <c r="B5" s="103" t="s">
        <v>345</v>
      </c>
      <c r="C5" s="103" t="s">
        <v>346</v>
      </c>
    </row>
    <row r="6" spans="1:3" ht="30" customHeight="1" x14ac:dyDescent="0.25">
      <c r="A6" s="104" t="s">
        <v>347</v>
      </c>
      <c r="B6" s="104" t="s">
        <v>348</v>
      </c>
      <c r="C6" s="104" t="s">
        <v>349</v>
      </c>
    </row>
    <row r="7" spans="1:3" ht="30" customHeight="1" x14ac:dyDescent="0.25">
      <c r="A7" s="103" t="s">
        <v>350</v>
      </c>
      <c r="B7" s="103" t="s">
        <v>351</v>
      </c>
      <c r="C7" s="103" t="s">
        <v>352</v>
      </c>
    </row>
    <row r="8" spans="1:3" ht="30" customHeight="1" x14ac:dyDescent="0.25">
      <c r="A8" s="104" t="s">
        <v>353</v>
      </c>
      <c r="B8" s="104" t="s">
        <v>354</v>
      </c>
      <c r="C8" s="104" t="s">
        <v>355</v>
      </c>
    </row>
    <row r="9" spans="1:3" ht="30" customHeight="1" x14ac:dyDescent="0.25">
      <c r="A9" s="103" t="s">
        <v>356</v>
      </c>
      <c r="B9" s="103" t="s">
        <v>357</v>
      </c>
      <c r="C9" s="103" t="s">
        <v>358</v>
      </c>
    </row>
  </sheetData>
  <mergeCells count="1">
    <mergeCell ref="A1:C1"/>
  </mergeCell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8E44AD"/>
  </sheetPr>
  <dimension ref="A1:H44"/>
  <sheetViews>
    <sheetView zoomScaleNormal="100" workbookViewId="0">
      <selection sqref="A1:H1"/>
    </sheetView>
  </sheetViews>
  <sheetFormatPr defaultColWidth="8.7109375" defaultRowHeight="15" x14ac:dyDescent="0.25"/>
  <cols>
    <col min="1" max="1" width="5" customWidth="1"/>
    <col min="2" max="2" width="28" customWidth="1"/>
    <col min="3" max="3" width="16" customWidth="1"/>
    <col min="4" max="4" width="26" customWidth="1"/>
    <col min="5" max="5" width="32" customWidth="1"/>
    <col min="6" max="6" width="22" customWidth="1"/>
    <col min="7" max="7" width="20" customWidth="1"/>
    <col min="8" max="8" width="60" customWidth="1"/>
  </cols>
  <sheetData>
    <row r="1" spans="1:8" ht="30" customHeight="1" x14ac:dyDescent="0.25">
      <c r="A1" s="152" t="s">
        <v>359</v>
      </c>
      <c r="B1" s="152"/>
      <c r="C1" s="152"/>
      <c r="D1" s="152"/>
      <c r="E1" s="152"/>
      <c r="F1" s="152"/>
      <c r="G1" s="152"/>
      <c r="H1" s="152"/>
    </row>
    <row r="2" spans="1:8" ht="27.75" customHeight="1" x14ac:dyDescent="0.25">
      <c r="A2" s="105" t="s">
        <v>1</v>
      </c>
      <c r="B2" s="105" t="s">
        <v>2</v>
      </c>
      <c r="C2" s="105" t="s">
        <v>4</v>
      </c>
      <c r="D2" s="105" t="s">
        <v>360</v>
      </c>
      <c r="E2" s="105" t="s">
        <v>361</v>
      </c>
      <c r="F2" s="105" t="s">
        <v>362</v>
      </c>
      <c r="G2" s="105" t="s">
        <v>363</v>
      </c>
      <c r="H2" s="105" t="s">
        <v>364</v>
      </c>
    </row>
    <row r="3" spans="1:8" ht="18" customHeight="1" x14ac:dyDescent="0.25">
      <c r="A3" s="106">
        <v>1</v>
      </c>
      <c r="B3" s="106" t="s">
        <v>27</v>
      </c>
      <c r="C3" s="106" t="s">
        <v>28</v>
      </c>
      <c r="D3" s="106" t="s">
        <v>31</v>
      </c>
      <c r="E3" s="106" t="s">
        <v>365</v>
      </c>
      <c r="F3" s="106" t="s">
        <v>366</v>
      </c>
      <c r="G3" s="106" t="s">
        <v>367</v>
      </c>
      <c r="H3" s="107" t="s">
        <v>32</v>
      </c>
    </row>
    <row r="4" spans="1:8" ht="18" customHeight="1" x14ac:dyDescent="0.25">
      <c r="A4" s="106">
        <v>2</v>
      </c>
      <c r="B4" s="106" t="s">
        <v>33</v>
      </c>
      <c r="C4" s="106" t="s">
        <v>34</v>
      </c>
      <c r="D4" s="106" t="s">
        <v>36</v>
      </c>
      <c r="E4" s="106" t="s">
        <v>368</v>
      </c>
      <c r="F4" s="106" t="s">
        <v>366</v>
      </c>
      <c r="G4" s="106" t="s">
        <v>367</v>
      </c>
      <c r="H4" s="107" t="s">
        <v>37</v>
      </c>
    </row>
    <row r="5" spans="1:8" ht="18" customHeight="1" x14ac:dyDescent="0.25">
      <c r="A5" s="108">
        <v>3</v>
      </c>
      <c r="B5" s="108" t="s">
        <v>33</v>
      </c>
      <c r="C5" s="108" t="s">
        <v>38</v>
      </c>
      <c r="D5" s="108" t="s">
        <v>41</v>
      </c>
      <c r="E5" s="108" t="s">
        <v>369</v>
      </c>
      <c r="F5" s="108" t="s">
        <v>370</v>
      </c>
      <c r="G5" s="108" t="s">
        <v>371</v>
      </c>
      <c r="H5" s="109" t="s">
        <v>42</v>
      </c>
    </row>
    <row r="6" spans="1:8" ht="18" customHeight="1" x14ac:dyDescent="0.25">
      <c r="A6" s="110">
        <v>4</v>
      </c>
      <c r="B6" s="110" t="s">
        <v>33</v>
      </c>
      <c r="C6" s="110" t="s">
        <v>43</v>
      </c>
      <c r="D6" s="110" t="s">
        <v>46</v>
      </c>
      <c r="E6" s="110" t="s">
        <v>372</v>
      </c>
      <c r="F6" s="110" t="s">
        <v>373</v>
      </c>
      <c r="G6" s="110" t="s">
        <v>374</v>
      </c>
      <c r="H6" s="111" t="s">
        <v>47</v>
      </c>
    </row>
    <row r="7" spans="1:8" ht="18" customHeight="1" x14ac:dyDescent="0.25">
      <c r="A7" s="106">
        <v>5</v>
      </c>
      <c r="B7" s="106" t="s">
        <v>33</v>
      </c>
      <c r="C7" s="106" t="s">
        <v>48</v>
      </c>
      <c r="D7" s="106" t="s">
        <v>36</v>
      </c>
      <c r="E7" s="106" t="s">
        <v>368</v>
      </c>
      <c r="F7" s="106" t="s">
        <v>366</v>
      </c>
      <c r="G7" s="106" t="s">
        <v>367</v>
      </c>
      <c r="H7" s="107" t="s">
        <v>50</v>
      </c>
    </row>
    <row r="8" spans="1:8" ht="18" customHeight="1" x14ac:dyDescent="0.25">
      <c r="A8" s="108">
        <v>6</v>
      </c>
      <c r="B8" s="108" t="s">
        <v>33</v>
      </c>
      <c r="C8" s="108" t="s">
        <v>51</v>
      </c>
      <c r="D8" s="108" t="s">
        <v>55</v>
      </c>
      <c r="E8" s="108" t="s">
        <v>375</v>
      </c>
      <c r="F8" s="108" t="s">
        <v>376</v>
      </c>
      <c r="G8" s="108" t="s">
        <v>377</v>
      </c>
      <c r="H8" s="109" t="s">
        <v>56</v>
      </c>
    </row>
    <row r="9" spans="1:8" ht="18" customHeight="1" x14ac:dyDescent="0.25">
      <c r="A9" s="106">
        <v>7</v>
      </c>
      <c r="B9" s="106" t="s">
        <v>33</v>
      </c>
      <c r="C9" s="106" t="s">
        <v>57</v>
      </c>
      <c r="D9" s="106" t="s">
        <v>36</v>
      </c>
      <c r="E9" s="106" t="s">
        <v>368</v>
      </c>
      <c r="F9" s="106" t="s">
        <v>366</v>
      </c>
      <c r="G9" s="106" t="s">
        <v>367</v>
      </c>
      <c r="H9" s="107" t="s">
        <v>59</v>
      </c>
    </row>
    <row r="10" spans="1:8" ht="18" customHeight="1" x14ac:dyDescent="0.25">
      <c r="A10" s="106">
        <v>8</v>
      </c>
      <c r="B10" s="106" t="s">
        <v>33</v>
      </c>
      <c r="C10" s="106" t="s">
        <v>60</v>
      </c>
      <c r="D10" s="106" t="s">
        <v>36</v>
      </c>
      <c r="E10" s="106" t="s">
        <v>368</v>
      </c>
      <c r="F10" s="106" t="s">
        <v>366</v>
      </c>
      <c r="G10" s="106" t="s">
        <v>367</v>
      </c>
      <c r="H10" s="107" t="s">
        <v>62</v>
      </c>
    </row>
    <row r="11" spans="1:8" ht="18" customHeight="1" x14ac:dyDescent="0.25">
      <c r="A11" s="106">
        <v>9</v>
      </c>
      <c r="B11" s="106" t="s">
        <v>33</v>
      </c>
      <c r="C11" s="106" t="s">
        <v>63</v>
      </c>
      <c r="D11" s="106" t="s">
        <v>36</v>
      </c>
      <c r="E11" s="106" t="s">
        <v>368</v>
      </c>
      <c r="F11" s="106" t="s">
        <v>366</v>
      </c>
      <c r="G11" s="106" t="s">
        <v>367</v>
      </c>
      <c r="H11" s="107" t="s">
        <v>65</v>
      </c>
    </row>
    <row r="12" spans="1:8" ht="18" customHeight="1" x14ac:dyDescent="0.25">
      <c r="A12" s="106">
        <v>10</v>
      </c>
      <c r="B12" s="106" t="s">
        <v>33</v>
      </c>
      <c r="C12" s="106" t="s">
        <v>28</v>
      </c>
      <c r="D12" s="106" t="s">
        <v>36</v>
      </c>
      <c r="E12" s="106" t="s">
        <v>368</v>
      </c>
      <c r="F12" s="106" t="s">
        <v>366</v>
      </c>
      <c r="G12" s="106" t="s">
        <v>367</v>
      </c>
      <c r="H12" s="107" t="s">
        <v>65</v>
      </c>
    </row>
    <row r="13" spans="1:8" ht="18" customHeight="1" x14ac:dyDescent="0.25">
      <c r="A13" s="106">
        <v>11</v>
      </c>
      <c r="B13" s="106" t="s">
        <v>33</v>
      </c>
      <c r="C13" s="106" t="s">
        <v>67</v>
      </c>
      <c r="D13" s="106" t="s">
        <v>36</v>
      </c>
      <c r="E13" s="106" t="s">
        <v>368</v>
      </c>
      <c r="F13" s="106" t="s">
        <v>366</v>
      </c>
      <c r="G13" s="106" t="s">
        <v>367</v>
      </c>
      <c r="H13" s="107" t="s">
        <v>65</v>
      </c>
    </row>
    <row r="14" spans="1:8" ht="18" customHeight="1" x14ac:dyDescent="0.25">
      <c r="A14" s="108">
        <v>12</v>
      </c>
      <c r="B14" s="108" t="s">
        <v>69</v>
      </c>
      <c r="C14" s="108" t="s">
        <v>38</v>
      </c>
      <c r="D14" s="108" t="s">
        <v>41</v>
      </c>
      <c r="E14" s="108" t="s">
        <v>369</v>
      </c>
      <c r="F14" s="108" t="s">
        <v>378</v>
      </c>
      <c r="G14" s="108" t="s">
        <v>379</v>
      </c>
      <c r="H14" s="109" t="s">
        <v>72</v>
      </c>
    </row>
    <row r="15" spans="1:8" ht="18" customHeight="1" x14ac:dyDescent="0.25">
      <c r="A15" s="108">
        <v>13</v>
      </c>
      <c r="B15" s="108" t="s">
        <v>69</v>
      </c>
      <c r="C15" s="108" t="s">
        <v>43</v>
      </c>
      <c r="D15" s="108" t="s">
        <v>41</v>
      </c>
      <c r="E15" s="108" t="s">
        <v>369</v>
      </c>
      <c r="F15" s="108" t="s">
        <v>380</v>
      </c>
      <c r="G15" s="108" t="s">
        <v>381</v>
      </c>
      <c r="H15" s="109" t="s">
        <v>75</v>
      </c>
    </row>
    <row r="16" spans="1:8" ht="18" customHeight="1" x14ac:dyDescent="0.25">
      <c r="A16" s="112">
        <v>14</v>
      </c>
      <c r="B16" s="112" t="s">
        <v>69</v>
      </c>
      <c r="C16" s="112" t="s">
        <v>76</v>
      </c>
      <c r="D16" s="112" t="s">
        <v>78</v>
      </c>
      <c r="E16" s="112" t="s">
        <v>382</v>
      </c>
      <c r="F16" s="112" t="s">
        <v>366</v>
      </c>
      <c r="G16" s="112" t="s">
        <v>367</v>
      </c>
      <c r="H16" s="113" t="s">
        <v>79</v>
      </c>
    </row>
    <row r="17" spans="1:8" ht="18" customHeight="1" x14ac:dyDescent="0.25">
      <c r="A17" s="108">
        <v>15</v>
      </c>
      <c r="B17" s="108" t="s">
        <v>80</v>
      </c>
      <c r="C17" s="108" t="s">
        <v>34</v>
      </c>
      <c r="D17" s="108" t="s">
        <v>41</v>
      </c>
      <c r="E17" s="108" t="s">
        <v>369</v>
      </c>
      <c r="F17" s="108" t="s">
        <v>383</v>
      </c>
      <c r="G17" s="108" t="s">
        <v>384</v>
      </c>
      <c r="H17" s="109" t="s">
        <v>83</v>
      </c>
    </row>
    <row r="18" spans="1:8" ht="18" customHeight="1" x14ac:dyDescent="0.25">
      <c r="A18" s="108">
        <v>16</v>
      </c>
      <c r="B18" s="108" t="s">
        <v>80</v>
      </c>
      <c r="C18" s="108" t="s">
        <v>38</v>
      </c>
      <c r="D18" s="108" t="s">
        <v>41</v>
      </c>
      <c r="E18" s="108" t="s">
        <v>369</v>
      </c>
      <c r="F18" s="108" t="s">
        <v>385</v>
      </c>
      <c r="G18" s="108" t="s">
        <v>386</v>
      </c>
      <c r="H18" s="109" t="s">
        <v>86</v>
      </c>
    </row>
    <row r="19" spans="1:8" ht="18" customHeight="1" x14ac:dyDescent="0.25">
      <c r="A19" s="110">
        <v>17</v>
      </c>
      <c r="B19" s="110" t="s">
        <v>80</v>
      </c>
      <c r="C19" s="110" t="s">
        <v>43</v>
      </c>
      <c r="D19" s="110" t="s">
        <v>46</v>
      </c>
      <c r="E19" s="110" t="s">
        <v>372</v>
      </c>
      <c r="F19" s="110" t="s">
        <v>387</v>
      </c>
      <c r="G19" s="110" t="s">
        <v>388</v>
      </c>
      <c r="H19" s="111" t="s">
        <v>89</v>
      </c>
    </row>
    <row r="20" spans="1:8" ht="18" customHeight="1" x14ac:dyDescent="0.25">
      <c r="A20" s="106">
        <v>18</v>
      </c>
      <c r="B20" s="106" t="s">
        <v>80</v>
      </c>
      <c r="C20" s="106" t="s">
        <v>48</v>
      </c>
      <c r="D20" s="106" t="s">
        <v>36</v>
      </c>
      <c r="E20" s="106" t="s">
        <v>368</v>
      </c>
      <c r="F20" s="106" t="s">
        <v>366</v>
      </c>
      <c r="G20" s="106" t="s">
        <v>367</v>
      </c>
      <c r="H20" s="107" t="s">
        <v>91</v>
      </c>
    </row>
    <row r="21" spans="1:8" ht="18" customHeight="1" x14ac:dyDescent="0.25">
      <c r="A21" s="114">
        <v>19</v>
      </c>
      <c r="B21" s="114" t="s">
        <v>80</v>
      </c>
      <c r="C21" s="114" t="s">
        <v>51</v>
      </c>
      <c r="D21" s="114" t="s">
        <v>95</v>
      </c>
      <c r="E21" s="114" t="s">
        <v>389</v>
      </c>
      <c r="F21" s="114" t="s">
        <v>390</v>
      </c>
      <c r="G21" s="114" t="s">
        <v>391</v>
      </c>
      <c r="H21" s="115" t="s">
        <v>96</v>
      </c>
    </row>
    <row r="22" spans="1:8" ht="18" customHeight="1" x14ac:dyDescent="0.25">
      <c r="A22" s="108">
        <v>20</v>
      </c>
      <c r="B22" s="108" t="s">
        <v>80</v>
      </c>
      <c r="C22" s="108" t="s">
        <v>57</v>
      </c>
      <c r="D22" s="108" t="s">
        <v>55</v>
      </c>
      <c r="E22" s="108" t="s">
        <v>375</v>
      </c>
      <c r="F22" s="108" t="s">
        <v>392</v>
      </c>
      <c r="G22" s="108" t="s">
        <v>393</v>
      </c>
      <c r="H22" s="109" t="s">
        <v>100</v>
      </c>
    </row>
    <row r="23" spans="1:8" ht="18" customHeight="1" x14ac:dyDescent="0.25">
      <c r="A23" s="106">
        <v>21</v>
      </c>
      <c r="B23" s="106" t="s">
        <v>80</v>
      </c>
      <c r="C23" s="106" t="s">
        <v>60</v>
      </c>
      <c r="D23" s="106" t="s">
        <v>36</v>
      </c>
      <c r="E23" s="106" t="s">
        <v>368</v>
      </c>
      <c r="F23" s="106" t="s">
        <v>366</v>
      </c>
      <c r="G23" s="106" t="s">
        <v>367</v>
      </c>
      <c r="H23" s="107" t="s">
        <v>102</v>
      </c>
    </row>
    <row r="24" spans="1:8" ht="18" customHeight="1" x14ac:dyDescent="0.25">
      <c r="A24" s="106">
        <v>22</v>
      </c>
      <c r="B24" s="106" t="s">
        <v>80</v>
      </c>
      <c r="C24" s="106" t="s">
        <v>63</v>
      </c>
      <c r="D24" s="106" t="s">
        <v>36</v>
      </c>
      <c r="E24" s="106" t="s">
        <v>368</v>
      </c>
      <c r="F24" s="106" t="s">
        <v>366</v>
      </c>
      <c r="G24" s="106" t="s">
        <v>367</v>
      </c>
      <c r="H24" s="107" t="s">
        <v>104</v>
      </c>
    </row>
    <row r="25" spans="1:8" ht="18" customHeight="1" x14ac:dyDescent="0.25">
      <c r="A25" s="106">
        <v>23</v>
      </c>
      <c r="B25" s="106" t="s">
        <v>80</v>
      </c>
      <c r="C25" s="106" t="s">
        <v>28</v>
      </c>
      <c r="D25" s="106" t="s">
        <v>36</v>
      </c>
      <c r="E25" s="106" t="s">
        <v>368</v>
      </c>
      <c r="F25" s="106" t="s">
        <v>366</v>
      </c>
      <c r="G25" s="106" t="s">
        <v>367</v>
      </c>
      <c r="H25" s="107" t="s">
        <v>106</v>
      </c>
    </row>
    <row r="26" spans="1:8" ht="18" customHeight="1" x14ac:dyDescent="0.25">
      <c r="A26" s="106">
        <v>24</v>
      </c>
      <c r="B26" s="106" t="s">
        <v>107</v>
      </c>
      <c r="C26" s="106" t="s">
        <v>34</v>
      </c>
      <c r="D26" s="106" t="s">
        <v>36</v>
      </c>
      <c r="E26" s="106" t="s">
        <v>368</v>
      </c>
      <c r="F26" s="106" t="s">
        <v>366</v>
      </c>
      <c r="G26" s="106" t="s">
        <v>367</v>
      </c>
      <c r="H26" s="107" t="s">
        <v>109</v>
      </c>
    </row>
    <row r="27" spans="1:8" ht="18" customHeight="1" x14ac:dyDescent="0.25">
      <c r="A27" s="108">
        <v>25</v>
      </c>
      <c r="B27" s="108" t="s">
        <v>107</v>
      </c>
      <c r="C27" s="108" t="s">
        <v>38</v>
      </c>
      <c r="D27" s="108" t="s">
        <v>41</v>
      </c>
      <c r="E27" s="108" t="s">
        <v>369</v>
      </c>
      <c r="F27" s="108" t="s">
        <v>394</v>
      </c>
      <c r="G27" s="108" t="s">
        <v>395</v>
      </c>
      <c r="H27" s="109" t="s">
        <v>112</v>
      </c>
    </row>
    <row r="28" spans="1:8" ht="18" customHeight="1" x14ac:dyDescent="0.25">
      <c r="A28" s="110">
        <v>26</v>
      </c>
      <c r="B28" s="110" t="s">
        <v>107</v>
      </c>
      <c r="C28" s="110" t="s">
        <v>43</v>
      </c>
      <c r="D28" s="110" t="s">
        <v>46</v>
      </c>
      <c r="E28" s="110" t="s">
        <v>372</v>
      </c>
      <c r="F28" s="110" t="s">
        <v>396</v>
      </c>
      <c r="G28" s="110" t="s">
        <v>397</v>
      </c>
      <c r="H28" s="111" t="s">
        <v>115</v>
      </c>
    </row>
    <row r="29" spans="1:8" ht="18" customHeight="1" x14ac:dyDescent="0.25">
      <c r="A29" s="108">
        <v>27</v>
      </c>
      <c r="B29" s="108" t="s">
        <v>107</v>
      </c>
      <c r="C29" s="108" t="s">
        <v>48</v>
      </c>
      <c r="D29" s="108" t="s">
        <v>41</v>
      </c>
      <c r="E29" s="108" t="s">
        <v>369</v>
      </c>
      <c r="F29" s="108" t="s">
        <v>398</v>
      </c>
      <c r="G29" s="108" t="s">
        <v>399</v>
      </c>
      <c r="H29" s="109" t="s">
        <v>118</v>
      </c>
    </row>
    <row r="30" spans="1:8" ht="18" customHeight="1" x14ac:dyDescent="0.25">
      <c r="A30" s="108">
        <v>28</v>
      </c>
      <c r="B30" s="108" t="s">
        <v>107</v>
      </c>
      <c r="C30" s="108" t="s">
        <v>51</v>
      </c>
      <c r="D30" s="108" t="s">
        <v>41</v>
      </c>
      <c r="E30" s="108" t="s">
        <v>369</v>
      </c>
      <c r="F30" s="108" t="s">
        <v>400</v>
      </c>
      <c r="G30" s="108" t="s">
        <v>401</v>
      </c>
      <c r="H30" s="109" t="s">
        <v>121</v>
      </c>
    </row>
    <row r="31" spans="1:8" ht="18" customHeight="1" x14ac:dyDescent="0.25">
      <c r="A31" s="108">
        <v>29</v>
      </c>
      <c r="B31" s="108" t="s">
        <v>107</v>
      </c>
      <c r="C31" s="108" t="s">
        <v>57</v>
      </c>
      <c r="D31" s="108" t="s">
        <v>41</v>
      </c>
      <c r="E31" s="108" t="s">
        <v>369</v>
      </c>
      <c r="F31" s="108" t="s">
        <v>402</v>
      </c>
      <c r="G31" s="108" t="s">
        <v>403</v>
      </c>
      <c r="H31" s="109" t="s">
        <v>125</v>
      </c>
    </row>
    <row r="32" spans="1:8" ht="18" customHeight="1" x14ac:dyDescent="0.25">
      <c r="A32" s="106">
        <v>30</v>
      </c>
      <c r="B32" s="106" t="s">
        <v>107</v>
      </c>
      <c r="C32" s="106" t="s">
        <v>60</v>
      </c>
      <c r="D32" s="106" t="s">
        <v>36</v>
      </c>
      <c r="E32" s="106" t="s">
        <v>368</v>
      </c>
      <c r="F32" s="106" t="s">
        <v>366</v>
      </c>
      <c r="G32" s="106" t="s">
        <v>367</v>
      </c>
      <c r="H32" s="107" t="s">
        <v>127</v>
      </c>
    </row>
    <row r="33" spans="1:8" ht="18" customHeight="1" x14ac:dyDescent="0.25">
      <c r="A33" s="106">
        <v>31</v>
      </c>
      <c r="B33" s="106" t="s">
        <v>107</v>
      </c>
      <c r="C33" s="106" t="s">
        <v>63</v>
      </c>
      <c r="D33" s="106" t="s">
        <v>36</v>
      </c>
      <c r="E33" s="106" t="s">
        <v>368</v>
      </c>
      <c r="F33" s="106" t="s">
        <v>366</v>
      </c>
      <c r="G33" s="106" t="s">
        <v>367</v>
      </c>
      <c r="H33" s="107" t="s">
        <v>129</v>
      </c>
    </row>
    <row r="34" spans="1:8" ht="18" customHeight="1" x14ac:dyDescent="0.25">
      <c r="A34" s="106">
        <v>32</v>
      </c>
      <c r="B34" s="106" t="s">
        <v>107</v>
      </c>
      <c r="C34" s="106" t="s">
        <v>28</v>
      </c>
      <c r="D34" s="106" t="s">
        <v>36</v>
      </c>
      <c r="E34" s="106" t="s">
        <v>368</v>
      </c>
      <c r="F34" s="106" t="s">
        <v>366</v>
      </c>
      <c r="G34" s="106" t="s">
        <v>367</v>
      </c>
      <c r="H34" s="107" t="s">
        <v>131</v>
      </c>
    </row>
    <row r="35" spans="1:8" ht="18" customHeight="1" x14ac:dyDescent="0.25">
      <c r="A35" s="106">
        <v>33</v>
      </c>
      <c r="B35" s="106" t="s">
        <v>107</v>
      </c>
      <c r="C35" s="106" t="s">
        <v>67</v>
      </c>
      <c r="D35" s="106" t="s">
        <v>36</v>
      </c>
      <c r="E35" s="106" t="s">
        <v>368</v>
      </c>
      <c r="F35" s="106" t="s">
        <v>366</v>
      </c>
      <c r="G35" s="106" t="s">
        <v>367</v>
      </c>
      <c r="H35" s="107" t="s">
        <v>133</v>
      </c>
    </row>
    <row r="36" spans="1:8" ht="18" customHeight="1" x14ac:dyDescent="0.25">
      <c r="A36" s="108">
        <v>34</v>
      </c>
      <c r="B36" s="108" t="s">
        <v>134</v>
      </c>
      <c r="C36" s="108" t="s">
        <v>34</v>
      </c>
      <c r="D36" s="108" t="s">
        <v>41</v>
      </c>
      <c r="E36" s="108" t="s">
        <v>369</v>
      </c>
      <c r="F36" s="108" t="s">
        <v>404</v>
      </c>
      <c r="G36" s="108" t="s">
        <v>405</v>
      </c>
      <c r="H36" s="109" t="s">
        <v>137</v>
      </c>
    </row>
    <row r="37" spans="1:8" ht="18" customHeight="1" x14ac:dyDescent="0.25">
      <c r="A37" s="108">
        <v>35</v>
      </c>
      <c r="B37" s="108" t="s">
        <v>134</v>
      </c>
      <c r="C37" s="108" t="s">
        <v>38</v>
      </c>
      <c r="D37" s="108" t="s">
        <v>41</v>
      </c>
      <c r="E37" s="108" t="s">
        <v>369</v>
      </c>
      <c r="F37" s="108" t="s">
        <v>406</v>
      </c>
      <c r="G37" s="108" t="s">
        <v>407</v>
      </c>
      <c r="H37" s="109" t="s">
        <v>140</v>
      </c>
    </row>
    <row r="38" spans="1:8" ht="18" customHeight="1" x14ac:dyDescent="0.25">
      <c r="A38" s="110">
        <v>36</v>
      </c>
      <c r="B38" s="110" t="s">
        <v>134</v>
      </c>
      <c r="C38" s="110" t="s">
        <v>43</v>
      </c>
      <c r="D38" s="110" t="s">
        <v>46</v>
      </c>
      <c r="E38" s="110" t="s">
        <v>372</v>
      </c>
      <c r="F38" s="110" t="s">
        <v>408</v>
      </c>
      <c r="G38" s="110" t="s">
        <v>409</v>
      </c>
      <c r="H38" s="111" t="s">
        <v>143</v>
      </c>
    </row>
    <row r="39" spans="1:8" ht="18" customHeight="1" x14ac:dyDescent="0.25">
      <c r="A39" s="108">
        <v>37</v>
      </c>
      <c r="B39" s="108" t="s">
        <v>134</v>
      </c>
      <c r="C39" s="108" t="s">
        <v>48</v>
      </c>
      <c r="D39" s="108" t="s">
        <v>41</v>
      </c>
      <c r="E39" s="108" t="s">
        <v>369</v>
      </c>
      <c r="F39" s="108" t="s">
        <v>410</v>
      </c>
      <c r="G39" s="108" t="s">
        <v>411</v>
      </c>
      <c r="H39" s="109" t="s">
        <v>146</v>
      </c>
    </row>
    <row r="40" spans="1:8" ht="18" customHeight="1" x14ac:dyDescent="0.25">
      <c r="A40" s="108">
        <v>38</v>
      </c>
      <c r="B40" s="108" t="s">
        <v>134</v>
      </c>
      <c r="C40" s="108" t="s">
        <v>51</v>
      </c>
      <c r="D40" s="108" t="s">
        <v>41</v>
      </c>
      <c r="E40" s="108" t="s">
        <v>369</v>
      </c>
      <c r="F40" s="108" t="s">
        <v>412</v>
      </c>
      <c r="G40" s="108" t="s">
        <v>367</v>
      </c>
      <c r="H40" s="109" t="s">
        <v>149</v>
      </c>
    </row>
    <row r="41" spans="1:8" ht="18" customHeight="1" x14ac:dyDescent="0.25">
      <c r="A41" s="114">
        <v>39</v>
      </c>
      <c r="B41" s="114" t="s">
        <v>134</v>
      </c>
      <c r="C41" s="114" t="s">
        <v>57</v>
      </c>
      <c r="D41" s="114" t="s">
        <v>95</v>
      </c>
      <c r="E41" s="114" t="s">
        <v>389</v>
      </c>
      <c r="F41" s="114" t="s">
        <v>413</v>
      </c>
      <c r="G41" s="114" t="s">
        <v>414</v>
      </c>
      <c r="H41" s="115" t="s">
        <v>153</v>
      </c>
    </row>
    <row r="42" spans="1:8" ht="18" customHeight="1" x14ac:dyDescent="0.25">
      <c r="A42" s="106">
        <v>40</v>
      </c>
      <c r="B42" s="106" t="s">
        <v>134</v>
      </c>
      <c r="C42" s="106" t="s">
        <v>60</v>
      </c>
      <c r="D42" s="106" t="s">
        <v>36</v>
      </c>
      <c r="E42" s="106" t="s">
        <v>368</v>
      </c>
      <c r="F42" s="106" t="s">
        <v>366</v>
      </c>
      <c r="G42" s="106" t="s">
        <v>367</v>
      </c>
      <c r="H42" s="107" t="s">
        <v>155</v>
      </c>
    </row>
    <row r="43" spans="1:8" ht="18" customHeight="1" x14ac:dyDescent="0.25">
      <c r="A43" s="106">
        <v>41</v>
      </c>
      <c r="B43" s="106" t="s">
        <v>134</v>
      </c>
      <c r="C43" s="106" t="s">
        <v>63</v>
      </c>
      <c r="D43" s="106" t="s">
        <v>36</v>
      </c>
      <c r="E43" s="106" t="s">
        <v>368</v>
      </c>
      <c r="F43" s="106" t="s">
        <v>366</v>
      </c>
      <c r="G43" s="106" t="s">
        <v>367</v>
      </c>
      <c r="H43" s="107" t="s">
        <v>157</v>
      </c>
    </row>
    <row r="44" spans="1:8" ht="18" customHeight="1" x14ac:dyDescent="0.25">
      <c r="A44" s="106">
        <v>42</v>
      </c>
      <c r="B44" s="106" t="s">
        <v>134</v>
      </c>
      <c r="C44" s="106" t="s">
        <v>28</v>
      </c>
      <c r="D44" s="106" t="s">
        <v>36</v>
      </c>
      <c r="E44" s="106" t="s">
        <v>368</v>
      </c>
      <c r="F44" s="106" t="s">
        <v>366</v>
      </c>
      <c r="G44" s="106" t="s">
        <v>367</v>
      </c>
      <c r="H44" s="107" t="s">
        <v>159</v>
      </c>
    </row>
  </sheetData>
  <mergeCells count="1">
    <mergeCell ref="A1:H1"/>
  </mergeCells>
  <dataValidations count="1">
    <dataValidation type="list" allowBlank="1" showInputMessage="1" showErrorMessage="1" errorTitle="Nome inválido" error="Este nome não existe no Cadastro. Use a lista suspensa para selecionar um colaborador válido." promptTitle="Colaborador" prompt="Selecione o colaborador na lista. Somente nomes do Cadastro são permitidos." sqref="B3:B500" xr:uid="{00000000-0002-0000-0B00-000000000000}">
      <formula1>Lista_Colaboradores</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2E75B6"/>
  </sheetPr>
  <dimension ref="A1:R3"/>
  <sheetViews>
    <sheetView zoomScaleNormal="100" workbookViewId="0">
      <pane ySplit="2" topLeftCell="A3" activePane="bottomLeft" state="frozen"/>
      <selection pane="bottomLeft" sqref="A1:R1"/>
    </sheetView>
  </sheetViews>
  <sheetFormatPr defaultColWidth="8.7109375" defaultRowHeight="15" x14ac:dyDescent="0.25"/>
  <cols>
    <col min="1" max="1" width="8" customWidth="1"/>
    <col min="2" max="2" width="28" customWidth="1"/>
    <col min="3" max="3" width="12" customWidth="1"/>
    <col min="4" max="4" width="14" customWidth="1"/>
    <col min="5" max="5" width="16" customWidth="1"/>
    <col min="6" max="9" width="12" customWidth="1"/>
    <col min="10" max="13" width="16" customWidth="1"/>
    <col min="14" max="14" width="14" customWidth="1"/>
    <col min="15" max="15" width="16" customWidth="1"/>
    <col min="16" max="16" width="35" customWidth="1"/>
    <col min="17" max="18" width="20" customWidth="1"/>
  </cols>
  <sheetData>
    <row r="1" spans="1:18" ht="27.75" customHeight="1" x14ac:dyDescent="0.25">
      <c r="A1" s="153" t="s">
        <v>415</v>
      </c>
      <c r="B1" s="153"/>
      <c r="C1" s="153"/>
      <c r="D1" s="153"/>
      <c r="E1" s="153"/>
      <c r="F1" s="153"/>
      <c r="G1" s="153"/>
      <c r="H1" s="153"/>
      <c r="I1" s="153"/>
      <c r="J1" s="153"/>
      <c r="K1" s="153"/>
      <c r="L1" s="153"/>
      <c r="M1" s="153"/>
      <c r="N1" s="153"/>
      <c r="O1" s="153"/>
      <c r="P1" s="153"/>
      <c r="Q1" s="153"/>
      <c r="R1" s="153"/>
    </row>
    <row r="2" spans="1:18" ht="30" customHeight="1" x14ac:dyDescent="0.25">
      <c r="A2" s="17" t="s">
        <v>416</v>
      </c>
      <c r="B2" s="17" t="s">
        <v>2</v>
      </c>
      <c r="C2" s="17" t="s">
        <v>4</v>
      </c>
      <c r="D2" s="17" t="s">
        <v>417</v>
      </c>
      <c r="E2" s="17" t="s">
        <v>418</v>
      </c>
      <c r="F2" s="17" t="s">
        <v>419</v>
      </c>
      <c r="G2" s="17" t="s">
        <v>420</v>
      </c>
      <c r="H2" s="17" t="s">
        <v>421</v>
      </c>
      <c r="I2" s="17" t="s">
        <v>422</v>
      </c>
      <c r="J2" s="17" t="s">
        <v>423</v>
      </c>
      <c r="K2" s="17" t="s">
        <v>424</v>
      </c>
      <c r="L2" s="17" t="s">
        <v>425</v>
      </c>
      <c r="M2" s="17" t="s">
        <v>426</v>
      </c>
      <c r="N2" s="17" t="s">
        <v>427</v>
      </c>
      <c r="O2" s="17" t="s">
        <v>428</v>
      </c>
      <c r="P2" s="17" t="s">
        <v>187</v>
      </c>
      <c r="Q2" s="17" t="s">
        <v>429</v>
      </c>
      <c r="R2" s="17" t="s">
        <v>430</v>
      </c>
    </row>
    <row r="3" spans="1:18" ht="15" customHeight="1" x14ac:dyDescent="0.25">
      <c r="F3" s="116"/>
      <c r="G3" s="116"/>
      <c r="H3" s="116"/>
      <c r="I3" s="116"/>
      <c r="J3" s="116" t="str">
        <f>IFERROR(IF(OR(ISBLANK(F3),ISBLANK(G3),ISBLANK(H3),ISBLANK(I3)),"",((G3-F3)+(I3-H3))),"")</f>
        <v/>
      </c>
      <c r="K3" s="116">
        <f>IFERROR(IF(E3="Sábado",IF(IFERROR(VLOOKUP(B3,Cadastro!B:H,6,FALSE()),"Não")="Sim",IFERROR(VLOOKUP(B3,Cadastro!B:H,7,FALSE()),0)/24,0),IF(OR(M3="Domingo",M3="Feriado",M3="Folga",M3="Atestado",M3="Férias",M3="Ausência"),0,IFERROR(VLOOKUP(B3,Cadastro!B:F,5,FALSE()),8)/24)),"")</f>
        <v>0.33333333333333331</v>
      </c>
      <c r="L3" s="116" t="str">
        <f>IFERROR(IF(OR(ISBLANK(J3),J3=""),"",J3-K3),"")</f>
        <v/>
      </c>
    </row>
  </sheetData>
  <mergeCells count="1">
    <mergeCell ref="A1:R1"/>
  </mergeCells>
  <conditionalFormatting sqref="A3:R10000">
    <cfRule type="expression" dxfId="10" priority="2">
      <formula>$N3="Validado"</formula>
    </cfRule>
    <cfRule type="expression" dxfId="9" priority="3">
      <formula>$N3="Rejeitado"</formula>
    </cfRule>
    <cfRule type="expression" dxfId="8" priority="4">
      <formula>OR($N3="Extraído",$N3="Revisado")</formula>
    </cfRule>
    <cfRule type="expression" dxfId="7" priority="5">
      <formula>AND($M3&lt;&gt;"Útil",$M3&lt;&gt;"Sábado",$M3&lt;&gt;"")</formula>
    </cfRule>
  </conditionalFormatting>
  <dataValidations count="2">
    <dataValidation type="list" sqref="M3:M1003" xr:uid="{00000000-0002-0000-0C00-000001000000}">
      <formula1>"Útil,Sábado,Domingo,Feriado,Atestado,Férias,Folga,Ausência"</formula1>
      <formula2>0</formula2>
    </dataValidation>
    <dataValidation type="list" sqref="N3:N1003" xr:uid="{00000000-0002-0000-0C00-000002000000}">
      <formula1>"Extraído,Revisado,Validado,Rejeitado"</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xr:uid="{00000000-0002-0000-0C00-000000000000}">
          <x14:formula1>
            <xm:f>Listas!$A$3:$A$50</xm:f>
          </x14:formula1>
          <x14:formula2>
            <xm:f>0</xm:f>
          </x14:formula2>
          <xm:sqref>B3:B1003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70AD47"/>
  </sheetPr>
  <dimension ref="A1:N3"/>
  <sheetViews>
    <sheetView zoomScaleNormal="100" workbookViewId="0">
      <pane ySplit="2" topLeftCell="A3" activePane="bottomLeft" state="frozen"/>
      <selection pane="bottomLeft" sqref="A1:N1"/>
    </sheetView>
  </sheetViews>
  <sheetFormatPr defaultColWidth="8.7109375" defaultRowHeight="15" x14ac:dyDescent="0.25"/>
  <cols>
    <col min="1" max="1" width="10" customWidth="1"/>
    <col min="2" max="2" width="28" customWidth="1"/>
    <col min="3" max="3" width="12" customWidth="1"/>
    <col min="4" max="4" width="14" customWidth="1"/>
    <col min="5" max="7" width="16" customWidth="1"/>
    <col min="8" max="8" width="18" customWidth="1"/>
    <col min="9" max="9" width="14" customWidth="1"/>
    <col min="10" max="10" width="35" customWidth="1"/>
    <col min="11" max="11" width="18" customWidth="1"/>
    <col min="12" max="12" width="16" customWidth="1"/>
    <col min="13" max="13" width="20" customWidth="1"/>
    <col min="14" max="14" width="35" customWidth="1"/>
  </cols>
  <sheetData>
    <row r="1" spans="1:14" ht="27.75" customHeight="1" x14ac:dyDescent="0.25">
      <c r="A1" s="153" t="s">
        <v>431</v>
      </c>
      <c r="B1" s="153"/>
      <c r="C1" s="153"/>
      <c r="D1" s="153"/>
      <c r="E1" s="153"/>
      <c r="F1" s="153"/>
      <c r="G1" s="153"/>
      <c r="H1" s="153"/>
      <c r="I1" s="153"/>
      <c r="J1" s="153"/>
      <c r="K1" s="153"/>
      <c r="L1" s="153"/>
      <c r="M1" s="153"/>
      <c r="N1" s="153"/>
    </row>
    <row r="2" spans="1:14" ht="30" customHeight="1" x14ac:dyDescent="0.25">
      <c r="A2" s="17" t="s">
        <v>432</v>
      </c>
      <c r="B2" s="17" t="s">
        <v>2</v>
      </c>
      <c r="C2" s="17" t="s">
        <v>4</v>
      </c>
      <c r="D2" s="17" t="s">
        <v>433</v>
      </c>
      <c r="E2" s="17" t="s">
        <v>434</v>
      </c>
      <c r="F2" s="17" t="s">
        <v>435</v>
      </c>
      <c r="G2" s="17" t="s">
        <v>436</v>
      </c>
      <c r="H2" s="17" t="s">
        <v>437</v>
      </c>
      <c r="I2" s="17" t="s">
        <v>438</v>
      </c>
      <c r="J2" s="17" t="s">
        <v>439</v>
      </c>
      <c r="K2" s="17" t="s">
        <v>25</v>
      </c>
      <c r="L2" s="17" t="s">
        <v>440</v>
      </c>
      <c r="M2" s="17" t="s">
        <v>441</v>
      </c>
      <c r="N2" s="17" t="s">
        <v>187</v>
      </c>
    </row>
    <row r="3" spans="1:14" ht="15" customHeight="1" x14ac:dyDescent="0.25">
      <c r="G3" s="117">
        <f>IFERROR(SUMPRODUCT((BatidasOCR!$B$3:$B$10000=B3)*(BatidasOCR!$C$3:$C$10000=C3)*(BatidasOCR!$L$3:$L$10000&gt;0)*BatidasOCR!$L$3:$L$10000),0)</f>
        <v>0</v>
      </c>
      <c r="H3" s="117">
        <f>IFERROR(SUMPRODUCT((BatidasOCR!$B$3:$B$10000=B3)*(BatidasOCR!$C$3:$C$10000=C3)*(BatidasOCR!$L$3:$L$10000&lt;0)*BatidasOCR!$L$3:$L$10000)*-1,0)</f>
        <v>0</v>
      </c>
      <c r="I3" s="117">
        <f>G3-H3</f>
        <v>0</v>
      </c>
      <c r="K3" s="118">
        <f>IFERROR(AVERAGEIFS(BatidasOCR!$O$3:$O$10000,BatidasOCR!$B$3:$B$10000,B3,BatidasOCR!$C$3:$C$10000,C3),0)</f>
        <v>0</v>
      </c>
    </row>
  </sheetData>
  <mergeCells count="1">
    <mergeCell ref="A1:N1"/>
  </mergeCells>
  <conditionalFormatting sqref="A3:N5000">
    <cfRule type="expression" dxfId="6" priority="2">
      <formula>$L3="Aprovado"</formula>
    </cfRule>
    <cfRule type="expression" dxfId="5" priority="3">
      <formula>$L3="Rejeitado"</formula>
    </cfRule>
    <cfRule type="expression" dxfId="4" priority="4">
      <formula>$L3="Pendente"</formula>
    </cfRule>
  </conditionalFormatting>
  <conditionalFormatting sqref="K3:K5000">
    <cfRule type="expression" dxfId="3" priority="5">
      <formula>$K3&lt;0.7</formula>
    </cfRule>
  </conditionalFormatting>
  <dataValidations count="1">
    <dataValidation type="list" sqref="L3:L1003" xr:uid="{00000000-0002-0000-0D00-000000000000}">
      <formula1>"Pendente,Em Revisão,Aprovado,Rejeitado"</formula1>
      <formula2>0</formula2>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7F00"/>
  </sheetPr>
  <dimension ref="A1:J2"/>
  <sheetViews>
    <sheetView tabSelected="1" zoomScaleNormal="100" workbookViewId="0">
      <pane ySplit="2" topLeftCell="A3" activePane="bottomLeft" state="frozen"/>
      <selection pane="bottomLeft" sqref="A1:J1"/>
    </sheetView>
  </sheetViews>
  <sheetFormatPr defaultColWidth="8.7109375" defaultRowHeight="15" x14ac:dyDescent="0.25"/>
  <cols>
    <col min="1" max="1" width="10" customWidth="1"/>
    <col min="2" max="2" width="22" customWidth="1"/>
    <col min="3" max="3" width="35" customWidth="1"/>
    <col min="4" max="4" width="28" customWidth="1"/>
    <col min="5" max="5" width="12" customWidth="1"/>
    <col min="6" max="6" width="16" customWidth="1"/>
    <col min="7" max="8" width="20" customWidth="1"/>
    <col min="9" max="9" width="40" customWidth="1"/>
    <col min="10" max="10" width="20" customWidth="1"/>
  </cols>
  <sheetData>
    <row r="1" spans="1:10" ht="27.75" customHeight="1" x14ac:dyDescent="0.25">
      <c r="A1" s="153" t="s">
        <v>442</v>
      </c>
      <c r="B1" s="153"/>
      <c r="C1" s="153"/>
      <c r="D1" s="153"/>
      <c r="E1" s="153"/>
      <c r="F1" s="153"/>
      <c r="G1" s="153"/>
      <c r="H1" s="153"/>
      <c r="I1" s="153"/>
      <c r="J1" s="153"/>
    </row>
    <row r="2" spans="1:10" ht="30" customHeight="1" x14ac:dyDescent="0.25">
      <c r="A2" s="17" t="s">
        <v>443</v>
      </c>
      <c r="B2" s="17" t="s">
        <v>444</v>
      </c>
      <c r="C2" s="17" t="s">
        <v>445</v>
      </c>
      <c r="D2" s="17" t="s">
        <v>2</v>
      </c>
      <c r="E2" s="17" t="s">
        <v>4</v>
      </c>
      <c r="F2" s="17" t="s">
        <v>446</v>
      </c>
      <c r="G2" s="17" t="s">
        <v>447</v>
      </c>
      <c r="H2" s="17" t="s">
        <v>448</v>
      </c>
      <c r="I2" s="17" t="s">
        <v>449</v>
      </c>
      <c r="J2" s="17" t="s">
        <v>450</v>
      </c>
    </row>
  </sheetData>
  <mergeCells count="1">
    <mergeCell ref="A1:J1"/>
  </mergeCells>
  <conditionalFormatting sqref="H3:H5000">
    <cfRule type="expression" dxfId="2" priority="2">
      <formula>$H3="Sucesso"</formula>
    </cfRule>
    <cfRule type="expression" dxfId="1" priority="3">
      <formula>$H3="Erro"</formula>
    </cfRule>
    <cfRule type="expression" dxfId="0" priority="4">
      <formula>$H3="Parcial"</formula>
    </cfRule>
  </conditionalFormatting>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Planilhas</vt:lpstr>
      </vt:variant>
      <vt:variant>
        <vt:i4>15</vt:i4>
      </vt:variant>
      <vt:variant>
        <vt:lpstr>Intervalos Nomeados</vt:lpstr>
      </vt:variant>
      <vt:variant>
        <vt:i4>1</vt:i4>
      </vt:variant>
    </vt:vector>
  </HeadingPairs>
  <TitlesOfParts>
    <vt:vector size="16" baseType="lpstr">
      <vt:lpstr>Início</vt:lpstr>
      <vt:lpstr>Apuracao_Consolidada</vt:lpstr>
      <vt:lpstr>Resumo_Banco</vt:lpstr>
      <vt:lpstr>Cadastro</vt:lpstr>
      <vt:lpstr>Dashboard</vt:lpstr>
      <vt:lpstr>Saldos_Iniciais</vt:lpstr>
      <vt:lpstr>Ajuda</vt:lpstr>
      <vt:lpstr>PainelControle</vt:lpstr>
      <vt:lpstr>VBA_Codigo</vt:lpstr>
      <vt:lpstr>Listas</vt:lpstr>
      <vt:lpstr>Macros_Referencia</vt:lpstr>
      <vt:lpstr>Criterios_Aplicados</vt:lpstr>
      <vt:lpstr>BatidasOCR</vt:lpstr>
      <vt:lpstr>ApuracaoAutomatica</vt:lpstr>
      <vt:lpstr>ControleOCR</vt:lpstr>
      <vt:lpstr>Lista_Colaboradores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Gabriel Rodrigues</cp:lastModifiedBy>
  <cp:revision>0</cp:revision>
  <dcterms:created xsi:type="dcterms:W3CDTF">2026-05-13T13:04:42Z</dcterms:created>
  <dcterms:modified xsi:type="dcterms:W3CDTF">2026-05-18T21:20:23Z</dcterms:modified>
  <dc:language>en-US</dc:language>
</cp:coreProperties>
</file>